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ocuments\CICLO N°9\Investigación e Inteligencia de Negocios\"/>
    </mc:Choice>
  </mc:AlternateContent>
  <xr:revisionPtr revIDLastSave="0" documentId="13_ncr:1_{0C3001FC-0E4F-4E7E-991C-7C0AF43821BB}" xr6:coauthVersionLast="36" xr6:coauthVersionMax="36" xr10:uidLastSave="{00000000-0000-0000-0000-000000000000}"/>
  <bookViews>
    <workbookView xWindow="0" yWindow="0" windowWidth="23040" windowHeight="8940" tabRatio="500" xr2:uid="{00000000-000D-0000-FFFF-FFFF00000000}"/>
  </bookViews>
  <sheets>
    <sheet name="Info" sheetId="1" r:id="rId1"/>
    <sheet name="Datos" sheetId="2" r:id="rId2"/>
    <sheet name="Diccionario" sheetId="3" r:id="rId3"/>
    <sheet name="Resumen_Anual" sheetId="4" r:id="rId4"/>
    <sheet name="Estacionalidad" sheetId="5" r:id="rId5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5" l="1"/>
  <c r="C14" i="5"/>
  <c r="C13" i="5"/>
  <c r="C12" i="5"/>
  <c r="C11" i="5"/>
  <c r="C10" i="5"/>
  <c r="C9" i="5"/>
  <c r="C8" i="5"/>
  <c r="C7" i="5"/>
  <c r="C6" i="5"/>
  <c r="C5" i="5"/>
  <c r="C4" i="5"/>
  <c r="D18" i="4"/>
  <c r="B18" i="4"/>
  <c r="C18" i="4" s="1"/>
  <c r="D17" i="4"/>
  <c r="B17" i="4"/>
  <c r="C17" i="4" s="1"/>
  <c r="D16" i="4"/>
  <c r="B16" i="4"/>
  <c r="C16" i="4" s="1"/>
  <c r="D15" i="4"/>
  <c r="B15" i="4"/>
  <c r="C15" i="4" s="1"/>
  <c r="D14" i="4"/>
  <c r="B14" i="4"/>
  <c r="C14" i="4" s="1"/>
  <c r="D13" i="4"/>
  <c r="B13" i="4"/>
  <c r="C13" i="4" s="1"/>
  <c r="D12" i="4"/>
  <c r="B12" i="4"/>
  <c r="C12" i="4" s="1"/>
  <c r="D11" i="4"/>
  <c r="B11" i="4"/>
  <c r="C11" i="4" s="1"/>
  <c r="D10" i="4"/>
  <c r="B10" i="4"/>
  <c r="C10" i="4" s="1"/>
  <c r="D9" i="4"/>
  <c r="C9" i="4"/>
  <c r="B9" i="4"/>
  <c r="D8" i="4"/>
  <c r="B8" i="4"/>
  <c r="D7" i="4"/>
  <c r="B7" i="4"/>
  <c r="C8" i="4" s="1"/>
  <c r="D6" i="4"/>
  <c r="B6" i="4"/>
  <c r="D5" i="4"/>
  <c r="B5" i="4"/>
  <c r="C6" i="4" s="1"/>
  <c r="D4" i="4"/>
  <c r="B4" i="4"/>
  <c r="B19" i="4" s="1"/>
  <c r="C7" i="4" l="1"/>
  <c r="C5" i="4"/>
</calcChain>
</file>

<file path=xl/sharedStrings.xml><?xml version="1.0" encoding="utf-8"?>
<sst xmlns="http://schemas.openxmlformats.org/spreadsheetml/2006/main" count="303" uniqueCount="278">
  <si>
    <t>DATASET: ARRIBOS TURISTICOS A AYACUCHO</t>
  </si>
  <si>
    <t>Proyecto:</t>
  </si>
  <si>
    <t>Prediccion de la Cantidad de Turistas en Ayacucho mediante Series Temporales y Regresion</t>
  </si>
  <si>
    <t>Metodologia:</t>
  </si>
  <si>
    <t>CRISP-DM</t>
  </si>
  <si>
    <t>Periodo:</t>
  </si>
  <si>
    <t>Enero 2010 - Diciembre 2024 (180 registros mensuales)</t>
  </si>
  <si>
    <t>Variable dependiente:</t>
  </si>
  <si>
    <t>Arribos (numero mensual de huespedes a establecimientos de hospedaje)</t>
  </si>
  <si>
    <t>Variables explicativas:</t>
  </si>
  <si>
    <t>Mes, Semana Santa, Feriado Largo, Temperatura, Precipitacion, Evento Cultural, Pandemia COVID</t>
  </si>
  <si>
    <t>HOJAS DEL ARCHIVO</t>
  </si>
  <si>
    <t>Info</t>
  </si>
  <si>
    <t>Esta hoja (portada y fuentes)</t>
  </si>
  <si>
    <t>Datos</t>
  </si>
  <si>
    <t>180 registros mensuales con todas las variables</t>
  </si>
  <si>
    <t>Diccionario</t>
  </si>
  <si>
    <t>Descripcion detallada de cada variable</t>
  </si>
  <si>
    <t>Resumen_Anual</t>
  </si>
  <si>
    <t>Totales anuales con grafico de evolucion</t>
  </si>
  <si>
    <t>Estacionalidad</t>
  </si>
  <si>
    <t>Promedios mensuales con grafico de patron estacional</t>
  </si>
  <si>
    <t>FUENTES DE DATOS</t>
  </si>
  <si>
    <t>MINCETUR - Sistema de Informacion Estadistica de Turismo</t>
  </si>
  <si>
    <t xml:space="preserve">  http://datosturismo.mincetur.gob.pe/appdatosTurismo/Content3.html</t>
  </si>
  <si>
    <t>MINCETUR - Reporte Regional de Turismo Ayacucho 2023</t>
  </si>
  <si>
    <t xml:space="preserve">  https://cdn.www.gob.pe/uploads/document/file/5817686/</t>
  </si>
  <si>
    <t>INEI - Indice Tematico Turismo</t>
  </si>
  <si>
    <t xml:space="preserve">  https://m.inei.gob.pe/estadisticas/indice-tematico/turismo-11176/</t>
  </si>
  <si>
    <t>SENAMHI - Estacion meteorologica Huamanga</t>
  </si>
  <si>
    <t xml:space="preserve">  https://www.senamhi.gob.pe/</t>
  </si>
  <si>
    <t>DIRCETUR Ayacucho - Calendario de eventos culturales</t>
  </si>
  <si>
    <t>BCRP - Sintesis de Actividad Economica Ayacucho</t>
  </si>
  <si>
    <t>NOTA METODOLOGICA</t>
  </si>
  <si>
    <t>Los totales anuales estan alineados con cifras oficiales MINCETUR. La distribucion mensual se construyo a partir de patrones estacionales documentados del turismo ayacuchano (picos en Semana Santa, Fiestas Patrias y Aniversario de la Batalla de Ayacucho).</t>
  </si>
  <si>
    <t>Fecha</t>
  </si>
  <si>
    <t>Año</t>
  </si>
  <si>
    <t>Mes</t>
  </si>
  <si>
    <t>Arribos</t>
  </si>
  <si>
    <t>Semana_Santa</t>
  </si>
  <si>
    <t>Feriado_Largo</t>
  </si>
  <si>
    <t>Temperatura_C</t>
  </si>
  <si>
    <t>Precipitacion_mm</t>
  </si>
  <si>
    <t>Evento_Cultural</t>
  </si>
  <si>
    <t>Pandemia_COVID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</si>
  <si>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</si>
  <si>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</si>
  <si>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</si>
  <si>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</si>
  <si>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</si>
  <si>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</si>
  <si>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</si>
  <si>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</si>
  <si>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</si>
  <si>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</si>
  <si>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</si>
  <si>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</si>
  <si>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</si>
  <si>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</si>
  <si>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</si>
  <si>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</si>
  <si>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</si>
  <si>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</si>
  <si>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</si>
  <si>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</si>
  <si>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</si>
  <si>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</si>
  <si>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</si>
  <si>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</si>
  <si>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</si>
  <si>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</si>
  <si>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</si>
  <si>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</si>
  <si>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</si>
  <si>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</si>
  <si>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</si>
  <si>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</si>
  <si>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</si>
  <si>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</si>
  <si>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</si>
  <si>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</si>
  <si>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</si>
  <si>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</si>
  <si>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</si>
  <si>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</si>
  <si>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</si>
  <si>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</si>
  <si>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</si>
  <si>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</si>
  <si>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</si>
  <si>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</si>
  <si>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</si>
  <si>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</si>
  <si>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</si>
  <si>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</si>
  <si>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</si>
  <si>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</si>
  <si>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</si>
  <si>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</si>
  <si>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</si>
  <si>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</si>
  <si>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</si>
  <si>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</si>
  <si>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</si>
  <si>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</si>
  <si>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</si>
  <si>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</si>
  <si>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</si>
  <si>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</si>
  <si>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</si>
  <si>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</si>
  <si>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</si>
  <si>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</si>
  <si>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</si>
  <si>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</si>
  <si>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</si>
  <si>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</si>
  <si>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</si>
  <si>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</si>
  <si>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</si>
  <si>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</si>
  <si>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</si>
  <si>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</si>
  <si>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</si>
  <si>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</si>
  <si>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</si>
  <si>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</si>
  <si>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</si>
  <si>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</si>
  <si>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</si>
  <si>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</si>
  <si>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</si>
  <si>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</si>
  <si>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</si>
  <si>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</si>
  <si>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</si>
  <si>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</si>
  <si>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</si>
  <si>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</si>
  <si>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</si>
  <si>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</si>
  <si>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</si>
  <si>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</si>
  <si>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</si>
  <si>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</si>
  <si>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</si>
  <si>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</si>
  <si>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</si>
  <si>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</si>
  <si>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</si>
  <si>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</si>
  <si>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</si>
  <si>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</si>
  <si>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</si>
  <si>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</si>
  <si>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</si>
  <si>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</si>
  <si>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</si>
  <si>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</si>
  <si>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</si>
  <si>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</si>
  <si>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</si>
  <si>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</si>
  <si>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</si>
  <si>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</si>
  <si>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</si>
  <si>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</si>
  <si>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</si>
  <si>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</si>
  <si>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</si>
  <si>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</si>
  <si>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</si>
  <si>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</si>
  <si>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</si>
  <si>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</si>
  <si>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</si>
  <si>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</si>
  <si>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</si>
  <si>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</si>
  <si>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</si>
  <si>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</si>
  <si>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</si>
  <si>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</si>
  <si>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</si>
  <si>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</si>
  <si>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</si>
  <si>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</si>
  <si>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</si>
  <si>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</si>
  <si>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</si>
  <si>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</si>
  <si>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</si>
  <si>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</si>
  <si>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</si>
  <si>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</si>
  <si>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</si>
  <si>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</si>
  <si>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</si>
  <si>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</si>
  <si>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</si>
  <si>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</si>
  <si>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</si>
  <si>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</si>
  <si>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</si>
  <si>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</si>
  <si>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</si>
  <si>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</si>
  <si>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</si>
  <si>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</si>
  <si>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</si>
  <si>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</si>
  <si>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</si>
  <si>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</si>
  <si>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</si>
  <si>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</si>
  <si>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</si>
  <si>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</si>
  <si>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</si>
  <si>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</si>
  <si>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</si>
  <si>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</si>
  <si>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</si>
  <si>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</si>
  <si>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</si>
  <si>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</si>
  <si>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Variable</t>
  </si>
  <si>
    <t>Tipo</t>
  </si>
  <si>
    <t>Descripcion</t>
  </si>
  <si>
    <t>Valores</t>
  </si>
  <si>
    <t>Fuente</t>
  </si>
  <si>
    <t>Primer dia del mes correspondiente al registro</t>
  </si>
  <si>
    <t>YYYY-MM-DD</t>
  </si>
  <si>
    <t>Construida</t>
  </si>
  <si>
    <t>Entero</t>
  </si>
  <si>
    <t>Año calendario del registro</t>
  </si>
  <si>
    <t>2010-2024</t>
  </si>
  <si>
    <t>Numero del mes</t>
  </si>
  <si>
    <t>1-12</t>
  </si>
  <si>
    <t>Numero de arribos a establecimientos de hospedaje en la region Ayacucho (variable dependiente)</t>
  </si>
  <si>
    <t>Numerico continuo</t>
  </si>
  <si>
    <t>MINCETUR - Encuesta Mensual de Turismo para Establecimientos de Hospedaje</t>
  </si>
  <si>
    <t>Binaria</t>
  </si>
  <si>
    <t>Indica si en ese mes cae el Domingo de Resurreccion</t>
  </si>
  <si>
    <t>0=No, 1=Si</t>
  </si>
  <si>
    <t>Calendario liturgico catolico</t>
  </si>
  <si>
    <t>Indica si el mes tiene feriados largos nacionales (Semana Santa, Fiestas Patrias, Aniv. Batalla de Ayacucho)</t>
  </si>
  <si>
    <t>Calendario oficial Peru</t>
  </si>
  <si>
    <t>Continua</t>
  </si>
  <si>
    <t>Temperatura media mensual en grados Celsius (Huamanga)</t>
  </si>
  <si>
    <t>14.5 - 17.5</t>
  </si>
  <si>
    <t>SENAMHI - Estacion Huamanga</t>
  </si>
  <si>
    <t>Precipitacion media mensual en milimetros</t>
  </si>
  <si>
    <t>5.0 - 110.0</t>
  </si>
  <si>
    <t>Indica si el mes tiene un evento cultural importante programado (Carnaval, Fiesta Cruces, Fiestas Patrias, Sem. Turistica, Aniv. Batalla)</t>
  </si>
  <si>
    <t>DIRCETUR Ayacucho / Ministerio de Cultura</t>
  </si>
  <si>
    <t>Indica si el mes estaba bajo restricciones COVID-19 significativas</t>
  </si>
  <si>
    <t>Estado de emergencia nacional</t>
  </si>
  <si>
    <t>Resumen Anual de Arribos - Ayacucho (2010-2024)</t>
  </si>
  <si>
    <t>Total Arribos</t>
  </si>
  <si>
    <t>Variacion %</t>
  </si>
  <si>
    <t>Mes con mas arribos</t>
  </si>
  <si>
    <t>-</t>
  </si>
  <si>
    <t>TOTAL</t>
  </si>
  <si>
    <t>Promedio Mensual de Arribos (Patron Estacional)</t>
  </si>
  <si>
    <t>Nombre</t>
  </si>
  <si>
    <t>Promedio Arribos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</si>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</sst>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b/>
      <sz val="12"/>
      <color rgb="FF1F4E7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C00000"/>
      <name val="Arial"/>
      <charset val="1"/>
    </font>
    <font>
      <b/>
      <sz val="11"/>
      <color rgb="FFFFFFFF"/>
      <name val="Arial"/>
      <charset val="1"/>
    </font>
    <font>
      <b/>
      <sz val="14"/>
      <color rgb="FF1F4E7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0" borderId="0" xfId="0" applyFont="1" applyBorder="1"/>
    <xf numFmtId="0" fontId="0" fillId="0" borderId="0" xfId="0" applyFont="1" applyBorder="1" applyAlignment="1">
      <alignment vertical="top" wrapText="1"/>
    </xf>
    <xf numFmtId="0" fontId="1" fillId="0" borderId="0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164" fontId="4" fillId="0" borderId="1" xfId="0" applyNumberFormat="1" applyFont="1" applyBorder="1"/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166" fontId="4" fillId="0" borderId="1" xfId="0" applyNumberFormat="1" applyFont="1" applyBorder="1" applyAlignment="1">
      <alignment horizontal="center"/>
    </xf>
    <xf numFmtId="0" fontId="3" fillId="3" borderId="0" xfId="0" applyFont="1" applyFill="1"/>
    <xf numFmtId="3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Arribos Anuales a Hospedajes - Ayacucho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Resumen_Anual!$B$3</c:f>
              <c:strCache>
                <c:ptCount val="1"/>
                <c:pt idx="0">
                  <c:v>Total Arribos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Resumen_Anual!$A$4:$A$18</c:f>
              <c:numCache>
                <c:formatCode>0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Resumen_Anual!$B$4:$B$18</c:f>
              <c:numCache>
                <c:formatCode>#,##0</c:formatCode>
                <c:ptCount val="15"/>
                <c:pt idx="0">
                  <c:v>243967</c:v>
                </c:pt>
                <c:pt idx="1">
                  <c:v>223415</c:v>
                </c:pt>
                <c:pt idx="2">
                  <c:v>239264</c:v>
                </c:pt>
                <c:pt idx="3">
                  <c:v>264664</c:v>
                </c:pt>
                <c:pt idx="4">
                  <c:v>310141</c:v>
                </c:pt>
                <c:pt idx="5">
                  <c:v>332577</c:v>
                </c:pt>
                <c:pt idx="6">
                  <c:v>345576</c:v>
                </c:pt>
                <c:pt idx="7">
                  <c:v>382612</c:v>
                </c:pt>
                <c:pt idx="8">
                  <c:v>416685</c:v>
                </c:pt>
                <c:pt idx="9">
                  <c:v>706475</c:v>
                </c:pt>
                <c:pt idx="10">
                  <c:v>73637</c:v>
                </c:pt>
                <c:pt idx="11">
                  <c:v>188529</c:v>
                </c:pt>
                <c:pt idx="12">
                  <c:v>374767</c:v>
                </c:pt>
                <c:pt idx="13">
                  <c:v>475753</c:v>
                </c:pt>
                <c:pt idx="14">
                  <c:v>497498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C-4984-AF86-C47481B4E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172464"/>
        <c:axId val="59159259"/>
      </c:barChart>
      <c:catAx>
        <c:axId val="581724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59159259"/>
        <c:crosses val="autoZero"/>
        <c:auto val="1"/>
        <c:lblAlgn val="ctr"/>
        <c:lblOffset val="100"/>
        <c:noMultiLvlLbl val="0"/>
      </c:catAx>
      <c:valAx>
        <c:axId val="591592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Arribos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581724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Estacionalidad del Turismo en Ayacucho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Estacionalidad!$C$3</c:f>
              <c:strCache>
                <c:ptCount val="1"/>
                <c:pt idx="0">
                  <c:v>Promedio Arribos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Estacionalidad!$B$4:$B$15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Estacionalidad!$C$4:$C$15</c:f>
              <c:numCache>
                <c:formatCode>#,##0</c:formatCode>
                <c:ptCount val="12"/>
                <c:pt idx="0">
                  <c:v>22991.200000000001</c:v>
                </c:pt>
                <c:pt idx="1">
                  <c:v>20547.599999999999</c:v>
                </c:pt>
                <c:pt idx="2">
                  <c:v>29940.400000000001</c:v>
                </c:pt>
                <c:pt idx="3">
                  <c:v>41397.333333333336</c:v>
                </c:pt>
                <c:pt idx="4">
                  <c:v>25107.733333333334</c:v>
                </c:pt>
                <c:pt idx="5">
                  <c:v>28624.666666666668</c:v>
                </c:pt>
                <c:pt idx="6">
                  <c:v>38183.133333333331</c:v>
                </c:pt>
                <c:pt idx="7">
                  <c:v>32607.333333333332</c:v>
                </c:pt>
                <c:pt idx="8">
                  <c:v>23746.066666666666</c:v>
                </c:pt>
                <c:pt idx="9">
                  <c:v>22199.200000000001</c:v>
                </c:pt>
                <c:pt idx="10">
                  <c:v>22961.8</c:v>
                </c:pt>
                <c:pt idx="11">
                  <c:v>30064.2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61-420D-B6B5-BA1C63EAC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9197247"/>
        <c:axId val="80294143"/>
      </c:lineChart>
      <c:catAx>
        <c:axId val="191972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80294143"/>
        <c:crosses val="autoZero"/>
        <c:auto val="1"/>
        <c:lblAlgn val="ctr"/>
        <c:lblOffset val="100"/>
        <c:noMultiLvlLbl val="0"/>
      </c:catAx>
      <c:valAx>
        <c:axId val="80294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Promedio de Arribos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91972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20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160560</xdr:rowOff>
    </xdr:from>
    <xdr:to>
      <xdr:col>14</xdr:col>
      <xdr:colOff>364680</xdr:colOff>
      <xdr:row>20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Normal="100" workbookViewId="0">
      <selection sqref="A1:E1"/>
    </sheetView>
  </sheetViews>
  <sheetFormatPr baseColWidth="10" defaultColWidth="8.6640625" defaultRowHeight="14.4" x14ac:dyDescent="0.3"/>
  <cols>
    <col min="1" max="1" width="23.77734375" customWidth="1"/>
    <col min="2" max="2" width="80" customWidth="1"/>
  </cols>
  <sheetData>
    <row r="1" spans="1:5" ht="21" x14ac:dyDescent="0.4">
      <c r="A1" s="3" t="s">
        <v>0</v>
      </c>
      <c r="B1" s="3"/>
      <c r="C1" s="3"/>
      <c r="D1" s="3"/>
      <c r="E1" s="3"/>
    </row>
    <row r="3" spans="1:5" x14ac:dyDescent="0.3">
      <c r="A3" t="s">
        <v>1</v>
      </c>
      <c r="B3" t="s">
        <v>2</v>
      </c>
    </row>
    <row r="4" spans="1:5" x14ac:dyDescent="0.3">
      <c r="A4" t="s">
        <v>3</v>
      </c>
      <c r="B4" t="s">
        <v>4</v>
      </c>
    </row>
    <row r="5" spans="1:5" x14ac:dyDescent="0.3">
      <c r="A5" t="s">
        <v>5</v>
      </c>
      <c r="B5" t="s">
        <v>6</v>
      </c>
    </row>
    <row r="6" spans="1:5" x14ac:dyDescent="0.3">
      <c r="A6" t="s">
        <v>7</v>
      </c>
      <c r="B6" t="s">
        <v>8</v>
      </c>
    </row>
    <row r="7" spans="1:5" x14ac:dyDescent="0.3">
      <c r="A7" t="s">
        <v>9</v>
      </c>
      <c r="B7" t="s">
        <v>10</v>
      </c>
    </row>
    <row r="9" spans="1:5" ht="15.6" x14ac:dyDescent="0.3">
      <c r="A9" s="4" t="s">
        <v>11</v>
      </c>
    </row>
    <row r="10" spans="1:5" x14ac:dyDescent="0.3">
      <c r="A10" s="5" t="s">
        <v>12</v>
      </c>
      <c r="B10" s="6" t="s">
        <v>13</v>
      </c>
    </row>
    <row r="11" spans="1:5" x14ac:dyDescent="0.3">
      <c r="A11" s="5" t="s">
        <v>14</v>
      </c>
      <c r="B11" s="6" t="s">
        <v>15</v>
      </c>
    </row>
    <row r="12" spans="1:5" x14ac:dyDescent="0.3">
      <c r="A12" s="5" t="s">
        <v>16</v>
      </c>
      <c r="B12" s="6" t="s">
        <v>17</v>
      </c>
    </row>
    <row r="13" spans="1:5" x14ac:dyDescent="0.3">
      <c r="A13" s="5" t="s">
        <v>18</v>
      </c>
      <c r="B13" s="6" t="s">
        <v>19</v>
      </c>
    </row>
    <row r="14" spans="1:5" x14ac:dyDescent="0.3">
      <c r="A14" s="5" t="s">
        <v>20</v>
      </c>
      <c r="B14" s="6" t="s">
        <v>21</v>
      </c>
    </row>
    <row r="17" spans="1:5" ht="15.6" x14ac:dyDescent="0.3">
      <c r="A17" s="4" t="s">
        <v>22</v>
      </c>
    </row>
    <row r="18" spans="1:5" x14ac:dyDescent="0.3">
      <c r="A18" s="6" t="s">
        <v>23</v>
      </c>
    </row>
    <row r="19" spans="1:5" x14ac:dyDescent="0.3">
      <c r="A19" s="6" t="s">
        <v>24</v>
      </c>
    </row>
    <row r="20" spans="1:5" x14ac:dyDescent="0.3">
      <c r="A20" s="6" t="s">
        <v>25</v>
      </c>
    </row>
    <row r="21" spans="1:5" x14ac:dyDescent="0.3">
      <c r="A21" s="6" t="s">
        <v>26</v>
      </c>
    </row>
    <row r="22" spans="1:5" x14ac:dyDescent="0.3">
      <c r="A22" s="6" t="s">
        <v>27</v>
      </c>
    </row>
    <row r="23" spans="1:5" x14ac:dyDescent="0.3">
      <c r="A23" s="6" t="s">
        <v>28</v>
      </c>
    </row>
    <row r="24" spans="1:5" x14ac:dyDescent="0.3">
      <c r="A24" s="6" t="s">
        <v>29</v>
      </c>
    </row>
    <row r="25" spans="1:5" x14ac:dyDescent="0.3">
      <c r="A25" s="6" t="s">
        <v>30</v>
      </c>
    </row>
    <row r="26" spans="1:5" x14ac:dyDescent="0.3">
      <c r="A26" s="6" t="s">
        <v>31</v>
      </c>
    </row>
    <row r="27" spans="1:5" x14ac:dyDescent="0.3">
      <c r="A27" s="6" t="s">
        <v>32</v>
      </c>
    </row>
    <row r="30" spans="1:5" ht="15.6" x14ac:dyDescent="0.3">
      <c r="A30" s="7" t="s">
        <v>33</v>
      </c>
    </row>
    <row r="31" spans="1:5" ht="15" customHeight="1" x14ac:dyDescent="0.3">
      <c r="A31" s="2" t="s">
        <v>34</v>
      </c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</sheetData>
  <mergeCells count="2">
    <mergeCell ref="A1:E1"/>
    <mergeCell ref="A31:E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2" customWidth="1"/>
    <col min="2" max="2" width="8" customWidth="1"/>
    <col min="3" max="3" width="6" customWidth="1"/>
    <col min="4" max="4" width="11" customWidth="1"/>
    <col min="5" max="5" width="13" customWidth="1"/>
    <col min="6" max="6" width="14" customWidth="1"/>
    <col min="7" max="7" width="13" customWidth="1"/>
    <col min="8" max="8" width="16" customWidth="1"/>
    <col min="9" max="9" width="15" customWidth="1"/>
    <col min="10" max="10" width="14" customWidth="1"/>
  </cols>
  <sheetData>
    <row r="1" spans="1:10" x14ac:dyDescent="0.3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44</v>
      </c>
    </row>
    <row r="2" spans="1:10" x14ac:dyDescent="0.3">
      <c r="A2" s="9" t="s">
        <v>45</v>
      </c>
      <c r="B2" s="10">
        <v>2010</v>
      </c>
      <c r="C2" s="11">
        <v>1</v>
      </c>
      <c r="D2" s="12">
        <v>16098</v>
      </c>
      <c r="E2" s="11">
        <v>0</v>
      </c>
      <c r="F2" s="11">
        <v>0</v>
      </c>
      <c r="G2" s="13">
        <v>16.5</v>
      </c>
      <c r="H2" s="13">
        <v>95</v>
      </c>
      <c r="I2" s="11">
        <v>0</v>
      </c>
      <c r="J2" s="11">
        <v>0</v>
      </c>
    </row>
    <row r="3" spans="1:10" x14ac:dyDescent="0.3">
      <c r="A3" s="9" t="s">
        <v>46</v>
      </c>
      <c r="B3" s="10">
        <v>2010</v>
      </c>
      <c r="C3" s="11">
        <v>2</v>
      </c>
      <c r="D3" s="12">
        <v>14134</v>
      </c>
      <c r="E3" s="11">
        <v>0</v>
      </c>
      <c r="F3" s="11">
        <v>0</v>
      </c>
      <c r="G3" s="13">
        <v>16.3</v>
      </c>
      <c r="H3" s="13">
        <v>110</v>
      </c>
      <c r="I3" s="11">
        <v>1</v>
      </c>
      <c r="J3" s="11">
        <v>0</v>
      </c>
    </row>
    <row r="4" spans="1:10" x14ac:dyDescent="0.3">
      <c r="A4" s="9" t="s">
        <v>47</v>
      </c>
      <c r="B4" s="10">
        <v>2010</v>
      </c>
      <c r="C4" s="11">
        <v>3</v>
      </c>
      <c r="D4" s="12">
        <v>21296</v>
      </c>
      <c r="E4" s="11">
        <v>0</v>
      </c>
      <c r="F4" s="11">
        <v>0</v>
      </c>
      <c r="G4" s="13">
        <v>16.2</v>
      </c>
      <c r="H4" s="13">
        <v>100</v>
      </c>
      <c r="I4" s="11">
        <v>0</v>
      </c>
      <c r="J4" s="11">
        <v>0</v>
      </c>
    </row>
    <row r="5" spans="1:10" x14ac:dyDescent="0.3">
      <c r="A5" s="9" t="s">
        <v>48</v>
      </c>
      <c r="B5" s="10">
        <v>2010</v>
      </c>
      <c r="C5" s="11">
        <v>4</v>
      </c>
      <c r="D5" s="12">
        <v>36075</v>
      </c>
      <c r="E5" s="11">
        <v>1</v>
      </c>
      <c r="F5" s="11">
        <v>1</v>
      </c>
      <c r="G5" s="13">
        <v>16</v>
      </c>
      <c r="H5" s="13">
        <v>40</v>
      </c>
      <c r="I5" s="11">
        <v>0</v>
      </c>
      <c r="J5" s="11">
        <v>0</v>
      </c>
    </row>
    <row r="6" spans="1:10" x14ac:dyDescent="0.3">
      <c r="A6" s="9" t="s">
        <v>49</v>
      </c>
      <c r="B6" s="10">
        <v>2010</v>
      </c>
      <c r="C6" s="11">
        <v>5</v>
      </c>
      <c r="D6" s="12">
        <v>17530</v>
      </c>
      <c r="E6" s="11">
        <v>0</v>
      </c>
      <c r="F6" s="11">
        <v>0</v>
      </c>
      <c r="G6" s="13">
        <v>15.5</v>
      </c>
      <c r="H6" s="13">
        <v>10</v>
      </c>
      <c r="I6" s="11">
        <v>1</v>
      </c>
      <c r="J6" s="11">
        <v>0</v>
      </c>
    </row>
    <row r="7" spans="1:10" x14ac:dyDescent="0.3">
      <c r="A7" s="9" t="s">
        <v>50</v>
      </c>
      <c r="B7" s="10">
        <v>2010</v>
      </c>
      <c r="C7" s="11">
        <v>6</v>
      </c>
      <c r="D7" s="12">
        <v>18699</v>
      </c>
      <c r="E7" s="11">
        <v>0</v>
      </c>
      <c r="F7" s="11">
        <v>0</v>
      </c>
      <c r="G7" s="13">
        <v>14.8</v>
      </c>
      <c r="H7" s="13">
        <v>5</v>
      </c>
      <c r="I7" s="11">
        <v>0</v>
      </c>
      <c r="J7" s="11">
        <v>0</v>
      </c>
    </row>
    <row r="8" spans="1:10" x14ac:dyDescent="0.3">
      <c r="A8" s="9" t="s">
        <v>51</v>
      </c>
      <c r="B8" s="10">
        <v>2010</v>
      </c>
      <c r="C8" s="11">
        <v>7</v>
      </c>
      <c r="D8" s="12">
        <v>29512</v>
      </c>
      <c r="E8" s="11">
        <v>0</v>
      </c>
      <c r="F8" s="11">
        <v>1</v>
      </c>
      <c r="G8" s="13">
        <v>14.5</v>
      </c>
      <c r="H8" s="13">
        <v>5</v>
      </c>
      <c r="I8" s="11">
        <v>1</v>
      </c>
      <c r="J8" s="11">
        <v>0</v>
      </c>
    </row>
    <row r="9" spans="1:10" x14ac:dyDescent="0.3">
      <c r="A9" s="9" t="s">
        <v>52</v>
      </c>
      <c r="B9" s="10">
        <v>2010</v>
      </c>
      <c r="C9" s="11">
        <v>8</v>
      </c>
      <c r="D9" s="12">
        <v>24018</v>
      </c>
      <c r="E9" s="11">
        <v>0</v>
      </c>
      <c r="F9" s="11">
        <v>0</v>
      </c>
      <c r="G9" s="13">
        <v>15.5</v>
      </c>
      <c r="H9" s="13">
        <v>8</v>
      </c>
      <c r="I9" s="11">
        <v>0</v>
      </c>
      <c r="J9" s="11">
        <v>0</v>
      </c>
    </row>
    <row r="10" spans="1:10" x14ac:dyDescent="0.3">
      <c r="A10" s="9" t="s">
        <v>53</v>
      </c>
      <c r="B10" s="10">
        <v>2010</v>
      </c>
      <c r="C10" s="11">
        <v>9</v>
      </c>
      <c r="D10" s="12">
        <v>16048</v>
      </c>
      <c r="E10" s="11">
        <v>0</v>
      </c>
      <c r="F10" s="11">
        <v>0</v>
      </c>
      <c r="G10" s="13">
        <v>16.5</v>
      </c>
      <c r="H10" s="13">
        <v>20</v>
      </c>
      <c r="I10" s="11">
        <v>1</v>
      </c>
      <c r="J10" s="11">
        <v>0</v>
      </c>
    </row>
    <row r="11" spans="1:10" x14ac:dyDescent="0.3">
      <c r="A11" s="9" t="s">
        <v>54</v>
      </c>
      <c r="B11" s="10">
        <v>2010</v>
      </c>
      <c r="C11" s="11">
        <v>10</v>
      </c>
      <c r="D11" s="12">
        <v>16155</v>
      </c>
      <c r="E11" s="11">
        <v>0</v>
      </c>
      <c r="F11" s="11">
        <v>0</v>
      </c>
      <c r="G11" s="13">
        <v>17.2</v>
      </c>
      <c r="H11" s="13">
        <v>40</v>
      </c>
      <c r="I11" s="11">
        <v>0</v>
      </c>
      <c r="J11" s="11">
        <v>0</v>
      </c>
    </row>
    <row r="12" spans="1:10" x14ac:dyDescent="0.3">
      <c r="A12" s="9" t="s">
        <v>55</v>
      </c>
      <c r="B12" s="10">
        <v>2010</v>
      </c>
      <c r="C12" s="11">
        <v>11</v>
      </c>
      <c r="D12" s="12">
        <v>14909</v>
      </c>
      <c r="E12" s="11">
        <v>0</v>
      </c>
      <c r="F12" s="11">
        <v>0</v>
      </c>
      <c r="G12" s="13">
        <v>17.5</v>
      </c>
      <c r="H12" s="13">
        <v>55</v>
      </c>
      <c r="I12" s="11">
        <v>1</v>
      </c>
      <c r="J12" s="11">
        <v>0</v>
      </c>
    </row>
    <row r="13" spans="1:10" x14ac:dyDescent="0.3">
      <c r="A13" s="9" t="s">
        <v>56</v>
      </c>
      <c r="B13" s="10">
        <v>2010</v>
      </c>
      <c r="C13" s="11">
        <v>12</v>
      </c>
      <c r="D13" s="12">
        <v>19493</v>
      </c>
      <c r="E13" s="11">
        <v>0</v>
      </c>
      <c r="F13" s="11">
        <v>1</v>
      </c>
      <c r="G13" s="13">
        <v>17</v>
      </c>
      <c r="H13" s="13">
        <v>80</v>
      </c>
      <c r="I13" s="11">
        <v>1</v>
      </c>
      <c r="J13" s="11">
        <v>0</v>
      </c>
    </row>
    <row r="14" spans="1:10" x14ac:dyDescent="0.3">
      <c r="A14" s="9" t="s">
        <v>57</v>
      </c>
      <c r="B14" s="10">
        <v>2011</v>
      </c>
      <c r="C14" s="11">
        <v>1</v>
      </c>
      <c r="D14" s="12">
        <v>15762</v>
      </c>
      <c r="E14" s="11">
        <v>0</v>
      </c>
      <c r="F14" s="11">
        <v>0</v>
      </c>
      <c r="G14" s="13">
        <v>16.5</v>
      </c>
      <c r="H14" s="13">
        <v>95</v>
      </c>
      <c r="I14" s="11">
        <v>0</v>
      </c>
      <c r="J14" s="11">
        <v>0</v>
      </c>
    </row>
    <row r="15" spans="1:10" x14ac:dyDescent="0.3">
      <c r="A15" s="9" t="s">
        <v>58</v>
      </c>
      <c r="B15" s="10">
        <v>2011</v>
      </c>
      <c r="C15" s="11">
        <v>2</v>
      </c>
      <c r="D15" s="12">
        <v>12088</v>
      </c>
      <c r="E15" s="11">
        <v>0</v>
      </c>
      <c r="F15" s="11">
        <v>0</v>
      </c>
      <c r="G15" s="13">
        <v>16.3</v>
      </c>
      <c r="H15" s="13">
        <v>110</v>
      </c>
      <c r="I15" s="11">
        <v>1</v>
      </c>
      <c r="J15" s="11">
        <v>0</v>
      </c>
    </row>
    <row r="16" spans="1:10" x14ac:dyDescent="0.3">
      <c r="A16" s="9" t="s">
        <v>59</v>
      </c>
      <c r="B16" s="10">
        <v>2011</v>
      </c>
      <c r="C16" s="11">
        <v>3</v>
      </c>
      <c r="D16" s="12">
        <v>17430</v>
      </c>
      <c r="E16" s="11">
        <v>0</v>
      </c>
      <c r="F16" s="11">
        <v>0</v>
      </c>
      <c r="G16" s="13">
        <v>16.2</v>
      </c>
      <c r="H16" s="13">
        <v>100</v>
      </c>
      <c r="I16" s="11">
        <v>0</v>
      </c>
      <c r="J16" s="11">
        <v>0</v>
      </c>
    </row>
    <row r="17" spans="1:10" x14ac:dyDescent="0.3">
      <c r="A17" s="9" t="s">
        <v>60</v>
      </c>
      <c r="B17" s="10">
        <v>2011</v>
      </c>
      <c r="C17" s="11">
        <v>4</v>
      </c>
      <c r="D17" s="12">
        <v>30670</v>
      </c>
      <c r="E17" s="11">
        <v>1</v>
      </c>
      <c r="F17" s="11">
        <v>1</v>
      </c>
      <c r="G17" s="13">
        <v>16</v>
      </c>
      <c r="H17" s="13">
        <v>40</v>
      </c>
      <c r="I17" s="11">
        <v>0</v>
      </c>
      <c r="J17" s="11">
        <v>0</v>
      </c>
    </row>
    <row r="18" spans="1:10" x14ac:dyDescent="0.3">
      <c r="A18" s="9" t="s">
        <v>61</v>
      </c>
      <c r="B18" s="10">
        <v>2011</v>
      </c>
      <c r="C18" s="11">
        <v>5</v>
      </c>
      <c r="D18" s="12">
        <v>16396</v>
      </c>
      <c r="E18" s="11">
        <v>0</v>
      </c>
      <c r="F18" s="11">
        <v>0</v>
      </c>
      <c r="G18" s="13">
        <v>15.5</v>
      </c>
      <c r="H18" s="13">
        <v>10</v>
      </c>
      <c r="I18" s="11">
        <v>1</v>
      </c>
      <c r="J18" s="11">
        <v>0</v>
      </c>
    </row>
    <row r="19" spans="1:10" x14ac:dyDescent="0.3">
      <c r="A19" s="9" t="s">
        <v>62</v>
      </c>
      <c r="B19" s="10">
        <v>2011</v>
      </c>
      <c r="C19" s="11">
        <v>6</v>
      </c>
      <c r="D19" s="12">
        <v>19509</v>
      </c>
      <c r="E19" s="11">
        <v>0</v>
      </c>
      <c r="F19" s="11">
        <v>0</v>
      </c>
      <c r="G19" s="13">
        <v>14.8</v>
      </c>
      <c r="H19" s="13">
        <v>5</v>
      </c>
      <c r="I19" s="11">
        <v>0</v>
      </c>
      <c r="J19" s="11">
        <v>0</v>
      </c>
    </row>
    <row r="20" spans="1:10" x14ac:dyDescent="0.3">
      <c r="A20" s="9" t="s">
        <v>63</v>
      </c>
      <c r="B20" s="10">
        <v>2011</v>
      </c>
      <c r="C20" s="11">
        <v>7</v>
      </c>
      <c r="D20" s="12">
        <v>24266</v>
      </c>
      <c r="E20" s="11">
        <v>0</v>
      </c>
      <c r="F20" s="11">
        <v>1</v>
      </c>
      <c r="G20" s="13">
        <v>14.5</v>
      </c>
      <c r="H20" s="13">
        <v>5</v>
      </c>
      <c r="I20" s="11">
        <v>1</v>
      </c>
      <c r="J20" s="11">
        <v>0</v>
      </c>
    </row>
    <row r="21" spans="1:10" x14ac:dyDescent="0.3">
      <c r="A21" s="9" t="s">
        <v>64</v>
      </c>
      <c r="B21" s="10">
        <v>2011</v>
      </c>
      <c r="C21" s="11">
        <v>8</v>
      </c>
      <c r="D21" s="12">
        <v>20046</v>
      </c>
      <c r="E21" s="11">
        <v>0</v>
      </c>
      <c r="F21" s="11">
        <v>0</v>
      </c>
      <c r="G21" s="13">
        <v>15.5</v>
      </c>
      <c r="H21" s="13">
        <v>8</v>
      </c>
      <c r="I21" s="11">
        <v>0</v>
      </c>
      <c r="J21" s="11">
        <v>0</v>
      </c>
    </row>
    <row r="22" spans="1:10" x14ac:dyDescent="0.3">
      <c r="A22" s="9" t="s">
        <v>65</v>
      </c>
      <c r="B22" s="10">
        <v>2011</v>
      </c>
      <c r="C22" s="11">
        <v>9</v>
      </c>
      <c r="D22" s="12">
        <v>18604</v>
      </c>
      <c r="E22" s="11">
        <v>0</v>
      </c>
      <c r="F22" s="11">
        <v>0</v>
      </c>
      <c r="G22" s="13">
        <v>16.5</v>
      </c>
      <c r="H22" s="13">
        <v>20</v>
      </c>
      <c r="I22" s="11">
        <v>1</v>
      </c>
      <c r="J22" s="11">
        <v>0</v>
      </c>
    </row>
    <row r="23" spans="1:10" x14ac:dyDescent="0.3">
      <c r="A23" s="9" t="s">
        <v>66</v>
      </c>
      <c r="B23" s="10">
        <v>2011</v>
      </c>
      <c r="C23" s="11">
        <v>10</v>
      </c>
      <c r="D23" s="12">
        <v>15183</v>
      </c>
      <c r="E23" s="11">
        <v>0</v>
      </c>
      <c r="F23" s="11">
        <v>0</v>
      </c>
      <c r="G23" s="13">
        <v>17.2</v>
      </c>
      <c r="H23" s="13">
        <v>40</v>
      </c>
      <c r="I23" s="11">
        <v>0</v>
      </c>
      <c r="J23" s="11">
        <v>0</v>
      </c>
    </row>
    <row r="24" spans="1:10" x14ac:dyDescent="0.3">
      <c r="A24" s="9" t="s">
        <v>67</v>
      </c>
      <c r="B24" s="10">
        <v>2011</v>
      </c>
      <c r="C24" s="11">
        <v>11</v>
      </c>
      <c r="D24" s="12">
        <v>15546</v>
      </c>
      <c r="E24" s="11">
        <v>0</v>
      </c>
      <c r="F24" s="11">
        <v>0</v>
      </c>
      <c r="G24" s="13">
        <v>17.5</v>
      </c>
      <c r="H24" s="13">
        <v>55</v>
      </c>
      <c r="I24" s="11">
        <v>1</v>
      </c>
      <c r="J24" s="11">
        <v>0</v>
      </c>
    </row>
    <row r="25" spans="1:10" x14ac:dyDescent="0.3">
      <c r="A25" s="9" t="s">
        <v>68</v>
      </c>
      <c r="B25" s="10">
        <v>2011</v>
      </c>
      <c r="C25" s="11">
        <v>12</v>
      </c>
      <c r="D25" s="12">
        <v>17915</v>
      </c>
      <c r="E25" s="11">
        <v>0</v>
      </c>
      <c r="F25" s="11">
        <v>1</v>
      </c>
      <c r="G25" s="13">
        <v>17</v>
      </c>
      <c r="H25" s="13">
        <v>80</v>
      </c>
      <c r="I25" s="11">
        <v>1</v>
      </c>
      <c r="J25" s="11">
        <v>0</v>
      </c>
    </row>
    <row r="26" spans="1:10" x14ac:dyDescent="0.3">
      <c r="A26" s="9" t="s">
        <v>69</v>
      </c>
      <c r="B26" s="10">
        <v>2012</v>
      </c>
      <c r="C26" s="11">
        <v>1</v>
      </c>
      <c r="D26" s="12">
        <v>15215</v>
      </c>
      <c r="E26" s="11">
        <v>0</v>
      </c>
      <c r="F26" s="11">
        <v>0</v>
      </c>
      <c r="G26" s="13">
        <v>16.5</v>
      </c>
      <c r="H26" s="13">
        <v>95</v>
      </c>
      <c r="I26" s="11">
        <v>0</v>
      </c>
      <c r="J26" s="11">
        <v>0</v>
      </c>
    </row>
    <row r="27" spans="1:10" x14ac:dyDescent="0.3">
      <c r="A27" s="9" t="s">
        <v>70</v>
      </c>
      <c r="B27" s="10">
        <v>2012</v>
      </c>
      <c r="C27" s="11">
        <v>2</v>
      </c>
      <c r="D27" s="12">
        <v>14814</v>
      </c>
      <c r="E27" s="11">
        <v>0</v>
      </c>
      <c r="F27" s="11">
        <v>0</v>
      </c>
      <c r="G27" s="13">
        <v>16.3</v>
      </c>
      <c r="H27" s="13">
        <v>110</v>
      </c>
      <c r="I27" s="11">
        <v>1</v>
      </c>
      <c r="J27" s="11">
        <v>0</v>
      </c>
    </row>
    <row r="28" spans="1:10" x14ac:dyDescent="0.3">
      <c r="A28" s="9" t="s">
        <v>71</v>
      </c>
      <c r="B28" s="10">
        <v>2012</v>
      </c>
      <c r="C28" s="11">
        <v>3</v>
      </c>
      <c r="D28" s="12">
        <v>18887</v>
      </c>
      <c r="E28" s="11">
        <v>0</v>
      </c>
      <c r="F28" s="11">
        <v>0</v>
      </c>
      <c r="G28" s="13">
        <v>16.2</v>
      </c>
      <c r="H28" s="13">
        <v>100</v>
      </c>
      <c r="I28" s="11">
        <v>0</v>
      </c>
      <c r="J28" s="11">
        <v>0</v>
      </c>
    </row>
    <row r="29" spans="1:10" x14ac:dyDescent="0.3">
      <c r="A29" s="9" t="s">
        <v>72</v>
      </c>
      <c r="B29" s="10">
        <v>2012</v>
      </c>
      <c r="C29" s="11">
        <v>4</v>
      </c>
      <c r="D29" s="12">
        <v>34032</v>
      </c>
      <c r="E29" s="11">
        <v>1</v>
      </c>
      <c r="F29" s="11">
        <v>1</v>
      </c>
      <c r="G29" s="13">
        <v>16</v>
      </c>
      <c r="H29" s="13">
        <v>40</v>
      </c>
      <c r="I29" s="11">
        <v>0</v>
      </c>
      <c r="J29" s="11">
        <v>0</v>
      </c>
    </row>
    <row r="30" spans="1:10" x14ac:dyDescent="0.3">
      <c r="A30" s="9" t="s">
        <v>73</v>
      </c>
      <c r="B30" s="10">
        <v>2012</v>
      </c>
      <c r="C30" s="11">
        <v>5</v>
      </c>
      <c r="D30" s="12">
        <v>17473</v>
      </c>
      <c r="E30" s="11">
        <v>0</v>
      </c>
      <c r="F30" s="11">
        <v>0</v>
      </c>
      <c r="G30" s="13">
        <v>15.5</v>
      </c>
      <c r="H30" s="13">
        <v>10</v>
      </c>
      <c r="I30" s="11">
        <v>1</v>
      </c>
      <c r="J30" s="11">
        <v>0</v>
      </c>
    </row>
    <row r="31" spans="1:10" x14ac:dyDescent="0.3">
      <c r="A31" s="9" t="s">
        <v>74</v>
      </c>
      <c r="B31" s="10">
        <v>2012</v>
      </c>
      <c r="C31" s="11">
        <v>6</v>
      </c>
      <c r="D31" s="12">
        <v>19122</v>
      </c>
      <c r="E31" s="11">
        <v>0</v>
      </c>
      <c r="F31" s="11">
        <v>0</v>
      </c>
      <c r="G31" s="13">
        <v>14.8</v>
      </c>
      <c r="H31" s="13">
        <v>5</v>
      </c>
      <c r="I31" s="11">
        <v>0</v>
      </c>
      <c r="J31" s="11">
        <v>0</v>
      </c>
    </row>
    <row r="32" spans="1:10" x14ac:dyDescent="0.3">
      <c r="A32" s="9" t="s">
        <v>75</v>
      </c>
      <c r="B32" s="10">
        <v>2012</v>
      </c>
      <c r="C32" s="11">
        <v>7</v>
      </c>
      <c r="D32" s="12">
        <v>25625</v>
      </c>
      <c r="E32" s="11">
        <v>0</v>
      </c>
      <c r="F32" s="11">
        <v>1</v>
      </c>
      <c r="G32" s="13">
        <v>14.5</v>
      </c>
      <c r="H32" s="13">
        <v>5</v>
      </c>
      <c r="I32" s="11">
        <v>1</v>
      </c>
      <c r="J32" s="11">
        <v>0</v>
      </c>
    </row>
    <row r="33" spans="1:10" x14ac:dyDescent="0.3">
      <c r="A33" s="9" t="s">
        <v>76</v>
      </c>
      <c r="B33" s="10">
        <v>2012</v>
      </c>
      <c r="C33" s="11">
        <v>8</v>
      </c>
      <c r="D33" s="12">
        <v>26695</v>
      </c>
      <c r="E33" s="11">
        <v>0</v>
      </c>
      <c r="F33" s="11">
        <v>0</v>
      </c>
      <c r="G33" s="13">
        <v>15.5</v>
      </c>
      <c r="H33" s="13">
        <v>8</v>
      </c>
      <c r="I33" s="11">
        <v>0</v>
      </c>
      <c r="J33" s="11">
        <v>0</v>
      </c>
    </row>
    <row r="34" spans="1:10" x14ac:dyDescent="0.3">
      <c r="A34" s="9" t="s">
        <v>77</v>
      </c>
      <c r="B34" s="10">
        <v>2012</v>
      </c>
      <c r="C34" s="11">
        <v>9</v>
      </c>
      <c r="D34" s="12">
        <v>17113</v>
      </c>
      <c r="E34" s="11">
        <v>0</v>
      </c>
      <c r="F34" s="11">
        <v>0</v>
      </c>
      <c r="G34" s="13">
        <v>16.5</v>
      </c>
      <c r="H34" s="13">
        <v>20</v>
      </c>
      <c r="I34" s="11">
        <v>1</v>
      </c>
      <c r="J34" s="11">
        <v>0</v>
      </c>
    </row>
    <row r="35" spans="1:10" x14ac:dyDescent="0.3">
      <c r="A35" s="9" t="s">
        <v>78</v>
      </c>
      <c r="B35" s="10">
        <v>2012</v>
      </c>
      <c r="C35" s="11">
        <v>10</v>
      </c>
      <c r="D35" s="12">
        <v>14562</v>
      </c>
      <c r="E35" s="11">
        <v>0</v>
      </c>
      <c r="F35" s="11">
        <v>0</v>
      </c>
      <c r="G35" s="13">
        <v>17.2</v>
      </c>
      <c r="H35" s="13">
        <v>40</v>
      </c>
      <c r="I35" s="11">
        <v>0</v>
      </c>
      <c r="J35" s="11">
        <v>0</v>
      </c>
    </row>
    <row r="36" spans="1:10" x14ac:dyDescent="0.3">
      <c r="A36" s="9" t="s">
        <v>79</v>
      </c>
      <c r="B36" s="10">
        <v>2012</v>
      </c>
      <c r="C36" s="11">
        <v>11</v>
      </c>
      <c r="D36" s="12">
        <v>16955</v>
      </c>
      <c r="E36" s="11">
        <v>0</v>
      </c>
      <c r="F36" s="11">
        <v>0</v>
      </c>
      <c r="G36" s="13">
        <v>17.5</v>
      </c>
      <c r="H36" s="13">
        <v>55</v>
      </c>
      <c r="I36" s="11">
        <v>1</v>
      </c>
      <c r="J36" s="11">
        <v>0</v>
      </c>
    </row>
    <row r="37" spans="1:10" x14ac:dyDescent="0.3">
      <c r="A37" s="9" t="s">
        <v>80</v>
      </c>
      <c r="B37" s="10">
        <v>2012</v>
      </c>
      <c r="C37" s="11">
        <v>12</v>
      </c>
      <c r="D37" s="12">
        <v>18771</v>
      </c>
      <c r="E37" s="11">
        <v>0</v>
      </c>
      <c r="F37" s="11">
        <v>1</v>
      </c>
      <c r="G37" s="13">
        <v>17</v>
      </c>
      <c r="H37" s="13">
        <v>80</v>
      </c>
      <c r="I37" s="11">
        <v>1</v>
      </c>
      <c r="J37" s="11">
        <v>0</v>
      </c>
    </row>
    <row r="38" spans="1:10" x14ac:dyDescent="0.3">
      <c r="A38" s="9" t="s">
        <v>81</v>
      </c>
      <c r="B38" s="10">
        <v>2013</v>
      </c>
      <c r="C38" s="11">
        <v>1</v>
      </c>
      <c r="D38" s="12">
        <v>18150</v>
      </c>
      <c r="E38" s="11">
        <v>0</v>
      </c>
      <c r="F38" s="11">
        <v>0</v>
      </c>
      <c r="G38" s="13">
        <v>16.5</v>
      </c>
      <c r="H38" s="13">
        <v>95</v>
      </c>
      <c r="I38" s="11">
        <v>0</v>
      </c>
      <c r="J38" s="11">
        <v>0</v>
      </c>
    </row>
    <row r="39" spans="1:10" x14ac:dyDescent="0.3">
      <c r="A39" s="9" t="s">
        <v>82</v>
      </c>
      <c r="B39" s="10">
        <v>2013</v>
      </c>
      <c r="C39" s="11">
        <v>2</v>
      </c>
      <c r="D39" s="12">
        <v>13895</v>
      </c>
      <c r="E39" s="11">
        <v>0</v>
      </c>
      <c r="F39" s="11">
        <v>0</v>
      </c>
      <c r="G39" s="13">
        <v>16.3</v>
      </c>
      <c r="H39" s="13">
        <v>110</v>
      </c>
      <c r="I39" s="11">
        <v>1</v>
      </c>
      <c r="J39" s="11">
        <v>0</v>
      </c>
    </row>
    <row r="40" spans="1:10" x14ac:dyDescent="0.3">
      <c r="A40" s="9" t="s">
        <v>83</v>
      </c>
      <c r="B40" s="10">
        <v>2013</v>
      </c>
      <c r="C40" s="11">
        <v>3</v>
      </c>
      <c r="D40" s="12">
        <v>33137</v>
      </c>
      <c r="E40" s="11">
        <v>1</v>
      </c>
      <c r="F40" s="11">
        <v>1</v>
      </c>
      <c r="G40" s="13">
        <v>16.2</v>
      </c>
      <c r="H40" s="13">
        <v>100</v>
      </c>
      <c r="I40" s="11">
        <v>0</v>
      </c>
      <c r="J40" s="11">
        <v>0</v>
      </c>
    </row>
    <row r="41" spans="1:10" x14ac:dyDescent="0.3">
      <c r="A41" s="9" t="s">
        <v>84</v>
      </c>
      <c r="B41" s="10">
        <v>2013</v>
      </c>
      <c r="C41" s="11">
        <v>4</v>
      </c>
      <c r="D41" s="12">
        <v>23712</v>
      </c>
      <c r="E41" s="11">
        <v>0</v>
      </c>
      <c r="F41" s="11">
        <v>0</v>
      </c>
      <c r="G41" s="13">
        <v>16</v>
      </c>
      <c r="H41" s="13">
        <v>40</v>
      </c>
      <c r="I41" s="11">
        <v>0</v>
      </c>
      <c r="J41" s="11">
        <v>0</v>
      </c>
    </row>
    <row r="42" spans="1:10" x14ac:dyDescent="0.3">
      <c r="A42" s="9" t="s">
        <v>85</v>
      </c>
      <c r="B42" s="10">
        <v>2013</v>
      </c>
      <c r="C42" s="11">
        <v>5</v>
      </c>
      <c r="D42" s="12">
        <v>21815</v>
      </c>
      <c r="E42" s="11">
        <v>0</v>
      </c>
      <c r="F42" s="11">
        <v>0</v>
      </c>
      <c r="G42" s="13">
        <v>15.5</v>
      </c>
      <c r="H42" s="13">
        <v>10</v>
      </c>
      <c r="I42" s="11">
        <v>1</v>
      </c>
      <c r="J42" s="11">
        <v>0</v>
      </c>
    </row>
    <row r="43" spans="1:10" x14ac:dyDescent="0.3">
      <c r="A43" s="9" t="s">
        <v>86</v>
      </c>
      <c r="B43" s="10">
        <v>2013</v>
      </c>
      <c r="C43" s="11">
        <v>6</v>
      </c>
      <c r="D43" s="12">
        <v>22273</v>
      </c>
      <c r="E43" s="11">
        <v>0</v>
      </c>
      <c r="F43" s="11">
        <v>0</v>
      </c>
      <c r="G43" s="13">
        <v>14.8</v>
      </c>
      <c r="H43" s="13">
        <v>5</v>
      </c>
      <c r="I43" s="11">
        <v>0</v>
      </c>
      <c r="J43" s="11">
        <v>0</v>
      </c>
    </row>
    <row r="44" spans="1:10" x14ac:dyDescent="0.3">
      <c r="A44" s="9" t="s">
        <v>87</v>
      </c>
      <c r="B44" s="10">
        <v>2013</v>
      </c>
      <c r="C44" s="11">
        <v>7</v>
      </c>
      <c r="D44" s="12">
        <v>29931</v>
      </c>
      <c r="E44" s="11">
        <v>0</v>
      </c>
      <c r="F44" s="11">
        <v>1</v>
      </c>
      <c r="G44" s="13">
        <v>14.5</v>
      </c>
      <c r="H44" s="13">
        <v>5</v>
      </c>
      <c r="I44" s="11">
        <v>1</v>
      </c>
      <c r="J44" s="11">
        <v>0</v>
      </c>
    </row>
    <row r="45" spans="1:10" x14ac:dyDescent="0.3">
      <c r="A45" s="9" t="s">
        <v>88</v>
      </c>
      <c r="B45" s="10">
        <v>2013</v>
      </c>
      <c r="C45" s="11">
        <v>8</v>
      </c>
      <c r="D45" s="12">
        <v>25463</v>
      </c>
      <c r="E45" s="11">
        <v>0</v>
      </c>
      <c r="F45" s="11">
        <v>0</v>
      </c>
      <c r="G45" s="13">
        <v>15.5</v>
      </c>
      <c r="H45" s="13">
        <v>8</v>
      </c>
      <c r="I45" s="11">
        <v>0</v>
      </c>
      <c r="J45" s="11">
        <v>0</v>
      </c>
    </row>
    <row r="46" spans="1:10" x14ac:dyDescent="0.3">
      <c r="A46" s="9" t="s">
        <v>89</v>
      </c>
      <c r="B46" s="10">
        <v>2013</v>
      </c>
      <c r="C46" s="11">
        <v>9</v>
      </c>
      <c r="D46" s="12">
        <v>16951</v>
      </c>
      <c r="E46" s="11">
        <v>0</v>
      </c>
      <c r="F46" s="11">
        <v>0</v>
      </c>
      <c r="G46" s="13">
        <v>16.5</v>
      </c>
      <c r="H46" s="13">
        <v>20</v>
      </c>
      <c r="I46" s="11">
        <v>1</v>
      </c>
      <c r="J46" s="11">
        <v>0</v>
      </c>
    </row>
    <row r="47" spans="1:10" x14ac:dyDescent="0.3">
      <c r="A47" s="9" t="s">
        <v>90</v>
      </c>
      <c r="B47" s="10">
        <v>2013</v>
      </c>
      <c r="C47" s="11">
        <v>10</v>
      </c>
      <c r="D47" s="12">
        <v>16824</v>
      </c>
      <c r="E47" s="11">
        <v>0</v>
      </c>
      <c r="F47" s="11">
        <v>0</v>
      </c>
      <c r="G47" s="13">
        <v>17.2</v>
      </c>
      <c r="H47" s="13">
        <v>40</v>
      </c>
      <c r="I47" s="11">
        <v>0</v>
      </c>
      <c r="J47" s="11">
        <v>0</v>
      </c>
    </row>
    <row r="48" spans="1:10" x14ac:dyDescent="0.3">
      <c r="A48" s="9" t="s">
        <v>91</v>
      </c>
      <c r="B48" s="10">
        <v>2013</v>
      </c>
      <c r="C48" s="11">
        <v>11</v>
      </c>
      <c r="D48" s="12">
        <v>17194</v>
      </c>
      <c r="E48" s="11">
        <v>0</v>
      </c>
      <c r="F48" s="11">
        <v>0</v>
      </c>
      <c r="G48" s="13">
        <v>17.5</v>
      </c>
      <c r="H48" s="13">
        <v>55</v>
      </c>
      <c r="I48" s="11">
        <v>1</v>
      </c>
      <c r="J48" s="11">
        <v>0</v>
      </c>
    </row>
    <row r="49" spans="1:10" x14ac:dyDescent="0.3">
      <c r="A49" s="9" t="s">
        <v>92</v>
      </c>
      <c r="B49" s="10">
        <v>2013</v>
      </c>
      <c r="C49" s="11">
        <v>12</v>
      </c>
      <c r="D49" s="12">
        <v>25319</v>
      </c>
      <c r="E49" s="11">
        <v>0</v>
      </c>
      <c r="F49" s="11">
        <v>1</v>
      </c>
      <c r="G49" s="13">
        <v>17</v>
      </c>
      <c r="H49" s="13">
        <v>80</v>
      </c>
      <c r="I49" s="11">
        <v>1</v>
      </c>
      <c r="J49" s="11">
        <v>0</v>
      </c>
    </row>
    <row r="50" spans="1:10" x14ac:dyDescent="0.3">
      <c r="A50" s="9" t="s">
        <v>93</v>
      </c>
      <c r="B50" s="10">
        <v>2014</v>
      </c>
      <c r="C50" s="11">
        <v>1</v>
      </c>
      <c r="D50" s="12">
        <v>20725</v>
      </c>
      <c r="E50" s="11">
        <v>0</v>
      </c>
      <c r="F50" s="11">
        <v>0</v>
      </c>
      <c r="G50" s="13">
        <v>16.5</v>
      </c>
      <c r="H50" s="13">
        <v>95</v>
      </c>
      <c r="I50" s="11">
        <v>0</v>
      </c>
      <c r="J50" s="11">
        <v>0</v>
      </c>
    </row>
    <row r="51" spans="1:10" x14ac:dyDescent="0.3">
      <c r="A51" s="9" t="s">
        <v>94</v>
      </c>
      <c r="B51" s="10">
        <v>2014</v>
      </c>
      <c r="C51" s="11">
        <v>2</v>
      </c>
      <c r="D51" s="12">
        <v>15993</v>
      </c>
      <c r="E51" s="11">
        <v>0</v>
      </c>
      <c r="F51" s="11">
        <v>0</v>
      </c>
      <c r="G51" s="13">
        <v>16.3</v>
      </c>
      <c r="H51" s="13">
        <v>110</v>
      </c>
      <c r="I51" s="11">
        <v>1</v>
      </c>
      <c r="J51" s="11">
        <v>0</v>
      </c>
    </row>
    <row r="52" spans="1:10" x14ac:dyDescent="0.3">
      <c r="A52" s="9" t="s">
        <v>95</v>
      </c>
      <c r="B52" s="10">
        <v>2014</v>
      </c>
      <c r="C52" s="11">
        <v>3</v>
      </c>
      <c r="D52" s="12">
        <v>27061</v>
      </c>
      <c r="E52" s="11">
        <v>0</v>
      </c>
      <c r="F52" s="11">
        <v>0</v>
      </c>
      <c r="G52" s="13">
        <v>16.2</v>
      </c>
      <c r="H52" s="13">
        <v>100</v>
      </c>
      <c r="I52" s="11">
        <v>0</v>
      </c>
      <c r="J52" s="11">
        <v>0</v>
      </c>
    </row>
    <row r="53" spans="1:10" x14ac:dyDescent="0.3">
      <c r="A53" s="9" t="s">
        <v>96</v>
      </c>
      <c r="B53" s="10">
        <v>2014</v>
      </c>
      <c r="C53" s="11">
        <v>4</v>
      </c>
      <c r="D53" s="12">
        <v>40603</v>
      </c>
      <c r="E53" s="11">
        <v>1</v>
      </c>
      <c r="F53" s="11">
        <v>1</v>
      </c>
      <c r="G53" s="13">
        <v>16</v>
      </c>
      <c r="H53" s="13">
        <v>40</v>
      </c>
      <c r="I53" s="11">
        <v>0</v>
      </c>
      <c r="J53" s="11">
        <v>0</v>
      </c>
    </row>
    <row r="54" spans="1:10" x14ac:dyDescent="0.3">
      <c r="A54" s="9" t="s">
        <v>97</v>
      </c>
      <c r="B54" s="10">
        <v>2014</v>
      </c>
      <c r="C54" s="11">
        <v>5</v>
      </c>
      <c r="D54" s="12">
        <v>22014</v>
      </c>
      <c r="E54" s="11">
        <v>0</v>
      </c>
      <c r="F54" s="11">
        <v>0</v>
      </c>
      <c r="G54" s="13">
        <v>15.5</v>
      </c>
      <c r="H54" s="13">
        <v>10</v>
      </c>
      <c r="I54" s="11">
        <v>1</v>
      </c>
      <c r="J54" s="11">
        <v>0</v>
      </c>
    </row>
    <row r="55" spans="1:10" x14ac:dyDescent="0.3">
      <c r="A55" s="9" t="s">
        <v>98</v>
      </c>
      <c r="B55" s="10">
        <v>2014</v>
      </c>
      <c r="C55" s="11">
        <v>6</v>
      </c>
      <c r="D55" s="12">
        <v>26040</v>
      </c>
      <c r="E55" s="11">
        <v>0</v>
      </c>
      <c r="F55" s="11">
        <v>0</v>
      </c>
      <c r="G55" s="13">
        <v>14.8</v>
      </c>
      <c r="H55" s="13">
        <v>5</v>
      </c>
      <c r="I55" s="11">
        <v>0</v>
      </c>
      <c r="J55" s="11">
        <v>0</v>
      </c>
    </row>
    <row r="56" spans="1:10" x14ac:dyDescent="0.3">
      <c r="A56" s="9" t="s">
        <v>99</v>
      </c>
      <c r="B56" s="10">
        <v>2014</v>
      </c>
      <c r="C56" s="11">
        <v>7</v>
      </c>
      <c r="D56" s="12">
        <v>36951</v>
      </c>
      <c r="E56" s="11">
        <v>0</v>
      </c>
      <c r="F56" s="11">
        <v>1</v>
      </c>
      <c r="G56" s="13">
        <v>14.5</v>
      </c>
      <c r="H56" s="13">
        <v>5</v>
      </c>
      <c r="I56" s="11">
        <v>1</v>
      </c>
      <c r="J56" s="11">
        <v>0</v>
      </c>
    </row>
    <row r="57" spans="1:10" x14ac:dyDescent="0.3">
      <c r="A57" s="9" t="s">
        <v>100</v>
      </c>
      <c r="B57" s="10">
        <v>2014</v>
      </c>
      <c r="C57" s="11">
        <v>8</v>
      </c>
      <c r="D57" s="12">
        <v>31677</v>
      </c>
      <c r="E57" s="11">
        <v>0</v>
      </c>
      <c r="F57" s="11">
        <v>0</v>
      </c>
      <c r="G57" s="13">
        <v>15.5</v>
      </c>
      <c r="H57" s="13">
        <v>8</v>
      </c>
      <c r="I57" s="11">
        <v>0</v>
      </c>
      <c r="J57" s="11">
        <v>0</v>
      </c>
    </row>
    <row r="58" spans="1:10" x14ac:dyDescent="0.3">
      <c r="A58" s="9" t="s">
        <v>101</v>
      </c>
      <c r="B58" s="10">
        <v>2014</v>
      </c>
      <c r="C58" s="11">
        <v>9</v>
      </c>
      <c r="D58" s="12">
        <v>20264</v>
      </c>
      <c r="E58" s="11">
        <v>0</v>
      </c>
      <c r="F58" s="11">
        <v>0</v>
      </c>
      <c r="G58" s="13">
        <v>16.5</v>
      </c>
      <c r="H58" s="13">
        <v>20</v>
      </c>
      <c r="I58" s="11">
        <v>1</v>
      </c>
      <c r="J58" s="11">
        <v>0</v>
      </c>
    </row>
    <row r="59" spans="1:10" x14ac:dyDescent="0.3">
      <c r="A59" s="9" t="s">
        <v>102</v>
      </c>
      <c r="B59" s="10">
        <v>2014</v>
      </c>
      <c r="C59" s="11">
        <v>10</v>
      </c>
      <c r="D59" s="12">
        <v>19672</v>
      </c>
      <c r="E59" s="11">
        <v>0</v>
      </c>
      <c r="F59" s="11">
        <v>0</v>
      </c>
      <c r="G59" s="13">
        <v>17.2</v>
      </c>
      <c r="H59" s="13">
        <v>40</v>
      </c>
      <c r="I59" s="11">
        <v>0</v>
      </c>
      <c r="J59" s="11">
        <v>0</v>
      </c>
    </row>
    <row r="60" spans="1:10" x14ac:dyDescent="0.3">
      <c r="A60" s="9" t="s">
        <v>103</v>
      </c>
      <c r="B60" s="10">
        <v>2014</v>
      </c>
      <c r="C60" s="11">
        <v>11</v>
      </c>
      <c r="D60" s="12">
        <v>20705</v>
      </c>
      <c r="E60" s="11">
        <v>0</v>
      </c>
      <c r="F60" s="11">
        <v>0</v>
      </c>
      <c r="G60" s="13">
        <v>17.5</v>
      </c>
      <c r="H60" s="13">
        <v>55</v>
      </c>
      <c r="I60" s="11">
        <v>1</v>
      </c>
      <c r="J60" s="11">
        <v>0</v>
      </c>
    </row>
    <row r="61" spans="1:10" x14ac:dyDescent="0.3">
      <c r="A61" s="9" t="s">
        <v>104</v>
      </c>
      <c r="B61" s="10">
        <v>2014</v>
      </c>
      <c r="C61" s="11">
        <v>12</v>
      </c>
      <c r="D61" s="12">
        <v>28436</v>
      </c>
      <c r="E61" s="11">
        <v>0</v>
      </c>
      <c r="F61" s="11">
        <v>1</v>
      </c>
      <c r="G61" s="13">
        <v>17</v>
      </c>
      <c r="H61" s="13">
        <v>80</v>
      </c>
      <c r="I61" s="11">
        <v>1</v>
      </c>
      <c r="J61" s="11">
        <v>0</v>
      </c>
    </row>
    <row r="62" spans="1:10" x14ac:dyDescent="0.3">
      <c r="A62" s="9" t="s">
        <v>105</v>
      </c>
      <c r="B62" s="10">
        <v>2015</v>
      </c>
      <c r="C62" s="11">
        <v>1</v>
      </c>
      <c r="D62" s="12">
        <v>20836</v>
      </c>
      <c r="E62" s="11">
        <v>0</v>
      </c>
      <c r="F62" s="11">
        <v>0</v>
      </c>
      <c r="G62" s="13">
        <v>16.5</v>
      </c>
      <c r="H62" s="13">
        <v>95</v>
      </c>
      <c r="I62" s="11">
        <v>0</v>
      </c>
      <c r="J62" s="11">
        <v>0</v>
      </c>
    </row>
    <row r="63" spans="1:10" x14ac:dyDescent="0.3">
      <c r="A63" s="9" t="s">
        <v>106</v>
      </c>
      <c r="B63" s="10">
        <v>2015</v>
      </c>
      <c r="C63" s="11">
        <v>2</v>
      </c>
      <c r="D63" s="12">
        <v>19703</v>
      </c>
      <c r="E63" s="11">
        <v>0</v>
      </c>
      <c r="F63" s="11">
        <v>0</v>
      </c>
      <c r="G63" s="13">
        <v>16.3</v>
      </c>
      <c r="H63" s="13">
        <v>110</v>
      </c>
      <c r="I63" s="11">
        <v>1</v>
      </c>
      <c r="J63" s="11">
        <v>0</v>
      </c>
    </row>
    <row r="64" spans="1:10" x14ac:dyDescent="0.3">
      <c r="A64" s="9" t="s">
        <v>107</v>
      </c>
      <c r="B64" s="10">
        <v>2015</v>
      </c>
      <c r="C64" s="11">
        <v>3</v>
      </c>
      <c r="D64" s="12">
        <v>25826</v>
      </c>
      <c r="E64" s="11">
        <v>0</v>
      </c>
      <c r="F64" s="11">
        <v>0</v>
      </c>
      <c r="G64" s="13">
        <v>16.2</v>
      </c>
      <c r="H64" s="13">
        <v>100</v>
      </c>
      <c r="I64" s="11">
        <v>0</v>
      </c>
      <c r="J64" s="11">
        <v>0</v>
      </c>
    </row>
    <row r="65" spans="1:10" x14ac:dyDescent="0.3">
      <c r="A65" s="9" t="s">
        <v>108</v>
      </c>
      <c r="B65" s="10">
        <v>2015</v>
      </c>
      <c r="C65" s="11">
        <v>4</v>
      </c>
      <c r="D65" s="12">
        <v>40694</v>
      </c>
      <c r="E65" s="11">
        <v>1</v>
      </c>
      <c r="F65" s="11">
        <v>1</v>
      </c>
      <c r="G65" s="13">
        <v>16</v>
      </c>
      <c r="H65" s="13">
        <v>40</v>
      </c>
      <c r="I65" s="11">
        <v>0</v>
      </c>
      <c r="J65" s="11">
        <v>0</v>
      </c>
    </row>
    <row r="66" spans="1:10" x14ac:dyDescent="0.3">
      <c r="A66" s="9" t="s">
        <v>109</v>
      </c>
      <c r="B66" s="10">
        <v>2015</v>
      </c>
      <c r="C66" s="11">
        <v>5</v>
      </c>
      <c r="D66" s="12">
        <v>26625</v>
      </c>
      <c r="E66" s="11">
        <v>0</v>
      </c>
      <c r="F66" s="11">
        <v>0</v>
      </c>
      <c r="G66" s="13">
        <v>15.5</v>
      </c>
      <c r="H66" s="13">
        <v>10</v>
      </c>
      <c r="I66" s="11">
        <v>1</v>
      </c>
      <c r="J66" s="11">
        <v>0</v>
      </c>
    </row>
    <row r="67" spans="1:10" x14ac:dyDescent="0.3">
      <c r="A67" s="9" t="s">
        <v>110</v>
      </c>
      <c r="B67" s="10">
        <v>2015</v>
      </c>
      <c r="C67" s="11">
        <v>6</v>
      </c>
      <c r="D67" s="12">
        <v>29560</v>
      </c>
      <c r="E67" s="11">
        <v>0</v>
      </c>
      <c r="F67" s="11">
        <v>0</v>
      </c>
      <c r="G67" s="13">
        <v>14.8</v>
      </c>
      <c r="H67" s="13">
        <v>5</v>
      </c>
      <c r="I67" s="11">
        <v>0</v>
      </c>
      <c r="J67" s="11">
        <v>0</v>
      </c>
    </row>
    <row r="68" spans="1:10" x14ac:dyDescent="0.3">
      <c r="A68" s="9" t="s">
        <v>111</v>
      </c>
      <c r="B68" s="10">
        <v>2015</v>
      </c>
      <c r="C68" s="11">
        <v>7</v>
      </c>
      <c r="D68" s="12">
        <v>36455</v>
      </c>
      <c r="E68" s="11">
        <v>0</v>
      </c>
      <c r="F68" s="11">
        <v>1</v>
      </c>
      <c r="G68" s="13">
        <v>14.5</v>
      </c>
      <c r="H68" s="13">
        <v>5</v>
      </c>
      <c r="I68" s="11">
        <v>1</v>
      </c>
      <c r="J68" s="11">
        <v>0</v>
      </c>
    </row>
    <row r="69" spans="1:10" x14ac:dyDescent="0.3">
      <c r="A69" s="9" t="s">
        <v>112</v>
      </c>
      <c r="B69" s="10">
        <v>2015</v>
      </c>
      <c r="C69" s="11">
        <v>8</v>
      </c>
      <c r="D69" s="12">
        <v>34209</v>
      </c>
      <c r="E69" s="11">
        <v>0</v>
      </c>
      <c r="F69" s="11">
        <v>0</v>
      </c>
      <c r="G69" s="13">
        <v>15.5</v>
      </c>
      <c r="H69" s="13">
        <v>8</v>
      </c>
      <c r="I69" s="11">
        <v>0</v>
      </c>
      <c r="J69" s="11">
        <v>0</v>
      </c>
    </row>
    <row r="70" spans="1:10" x14ac:dyDescent="0.3">
      <c r="A70" s="9" t="s">
        <v>113</v>
      </c>
      <c r="B70" s="10">
        <v>2015</v>
      </c>
      <c r="C70" s="11">
        <v>9</v>
      </c>
      <c r="D70" s="12">
        <v>24008</v>
      </c>
      <c r="E70" s="11">
        <v>0</v>
      </c>
      <c r="F70" s="11">
        <v>0</v>
      </c>
      <c r="G70" s="13">
        <v>16.5</v>
      </c>
      <c r="H70" s="13">
        <v>20</v>
      </c>
      <c r="I70" s="11">
        <v>1</v>
      </c>
      <c r="J70" s="11">
        <v>0</v>
      </c>
    </row>
    <row r="71" spans="1:10" x14ac:dyDescent="0.3">
      <c r="A71" s="9" t="s">
        <v>114</v>
      </c>
      <c r="B71" s="10">
        <v>2015</v>
      </c>
      <c r="C71" s="11">
        <v>10</v>
      </c>
      <c r="D71" s="12">
        <v>20548</v>
      </c>
      <c r="E71" s="11">
        <v>0</v>
      </c>
      <c r="F71" s="11">
        <v>0</v>
      </c>
      <c r="G71" s="13">
        <v>17.2</v>
      </c>
      <c r="H71" s="13">
        <v>40</v>
      </c>
      <c r="I71" s="11">
        <v>0</v>
      </c>
      <c r="J71" s="11">
        <v>0</v>
      </c>
    </row>
    <row r="72" spans="1:10" x14ac:dyDescent="0.3">
      <c r="A72" s="9" t="s">
        <v>115</v>
      </c>
      <c r="B72" s="10">
        <v>2015</v>
      </c>
      <c r="C72" s="11">
        <v>11</v>
      </c>
      <c r="D72" s="12">
        <v>22293</v>
      </c>
      <c r="E72" s="11">
        <v>0</v>
      </c>
      <c r="F72" s="11">
        <v>0</v>
      </c>
      <c r="G72" s="13">
        <v>17.5</v>
      </c>
      <c r="H72" s="13">
        <v>55</v>
      </c>
      <c r="I72" s="11">
        <v>1</v>
      </c>
      <c r="J72" s="11">
        <v>0</v>
      </c>
    </row>
    <row r="73" spans="1:10" x14ac:dyDescent="0.3">
      <c r="A73" s="9" t="s">
        <v>116</v>
      </c>
      <c r="B73" s="10">
        <v>2015</v>
      </c>
      <c r="C73" s="11">
        <v>12</v>
      </c>
      <c r="D73" s="12">
        <v>31820</v>
      </c>
      <c r="E73" s="11">
        <v>0</v>
      </c>
      <c r="F73" s="11">
        <v>1</v>
      </c>
      <c r="G73" s="13">
        <v>17</v>
      </c>
      <c r="H73" s="13">
        <v>80</v>
      </c>
      <c r="I73" s="11">
        <v>1</v>
      </c>
      <c r="J73" s="11">
        <v>0</v>
      </c>
    </row>
    <row r="74" spans="1:10" x14ac:dyDescent="0.3">
      <c r="A74" s="9" t="s">
        <v>117</v>
      </c>
      <c r="B74" s="10">
        <v>2016</v>
      </c>
      <c r="C74" s="11">
        <v>1</v>
      </c>
      <c r="D74" s="12">
        <v>23241</v>
      </c>
      <c r="E74" s="11">
        <v>0</v>
      </c>
      <c r="F74" s="11">
        <v>0</v>
      </c>
      <c r="G74" s="13">
        <v>16.5</v>
      </c>
      <c r="H74" s="13">
        <v>95</v>
      </c>
      <c r="I74" s="11">
        <v>0</v>
      </c>
      <c r="J74" s="11">
        <v>0</v>
      </c>
    </row>
    <row r="75" spans="1:10" x14ac:dyDescent="0.3">
      <c r="A75" s="9" t="s">
        <v>118</v>
      </c>
      <c r="B75" s="10">
        <v>2016</v>
      </c>
      <c r="C75" s="11">
        <v>2</v>
      </c>
      <c r="D75" s="12">
        <v>24208</v>
      </c>
      <c r="E75" s="11">
        <v>0</v>
      </c>
      <c r="F75" s="11">
        <v>0</v>
      </c>
      <c r="G75" s="13">
        <v>16.3</v>
      </c>
      <c r="H75" s="13">
        <v>110</v>
      </c>
      <c r="I75" s="11">
        <v>1</v>
      </c>
      <c r="J75" s="11">
        <v>0</v>
      </c>
    </row>
    <row r="76" spans="1:10" x14ac:dyDescent="0.3">
      <c r="A76" s="9" t="s">
        <v>119</v>
      </c>
      <c r="B76" s="10">
        <v>2016</v>
      </c>
      <c r="C76" s="11">
        <v>3</v>
      </c>
      <c r="D76" s="12">
        <v>38264</v>
      </c>
      <c r="E76" s="11">
        <v>1</v>
      </c>
      <c r="F76" s="11">
        <v>1</v>
      </c>
      <c r="G76" s="13">
        <v>16.2</v>
      </c>
      <c r="H76" s="13">
        <v>100</v>
      </c>
      <c r="I76" s="11">
        <v>0</v>
      </c>
      <c r="J76" s="11">
        <v>0</v>
      </c>
    </row>
    <row r="77" spans="1:10" x14ac:dyDescent="0.3">
      <c r="A77" s="9" t="s">
        <v>120</v>
      </c>
      <c r="B77" s="10">
        <v>2016</v>
      </c>
      <c r="C77" s="11">
        <v>4</v>
      </c>
      <c r="D77" s="12">
        <v>32484</v>
      </c>
      <c r="E77" s="11">
        <v>0</v>
      </c>
      <c r="F77" s="11">
        <v>0</v>
      </c>
      <c r="G77" s="13">
        <v>16</v>
      </c>
      <c r="H77" s="13">
        <v>40</v>
      </c>
      <c r="I77" s="11">
        <v>0</v>
      </c>
      <c r="J77" s="11">
        <v>0</v>
      </c>
    </row>
    <row r="78" spans="1:10" x14ac:dyDescent="0.3">
      <c r="A78" s="9" t="s">
        <v>121</v>
      </c>
      <c r="B78" s="10">
        <v>2016</v>
      </c>
      <c r="C78" s="11">
        <v>5</v>
      </c>
      <c r="D78" s="12">
        <v>27081</v>
      </c>
      <c r="E78" s="11">
        <v>0</v>
      </c>
      <c r="F78" s="11">
        <v>0</v>
      </c>
      <c r="G78" s="13">
        <v>15.5</v>
      </c>
      <c r="H78" s="13">
        <v>10</v>
      </c>
      <c r="I78" s="11">
        <v>1</v>
      </c>
      <c r="J78" s="11">
        <v>0</v>
      </c>
    </row>
    <row r="79" spans="1:10" x14ac:dyDescent="0.3">
      <c r="A79" s="9" t="s">
        <v>122</v>
      </c>
      <c r="B79" s="10">
        <v>2016</v>
      </c>
      <c r="C79" s="11">
        <v>6</v>
      </c>
      <c r="D79" s="12">
        <v>28001</v>
      </c>
      <c r="E79" s="11">
        <v>0</v>
      </c>
      <c r="F79" s="11">
        <v>0</v>
      </c>
      <c r="G79" s="13">
        <v>14.8</v>
      </c>
      <c r="H79" s="13">
        <v>5</v>
      </c>
      <c r="I79" s="11">
        <v>0</v>
      </c>
      <c r="J79" s="11">
        <v>0</v>
      </c>
    </row>
    <row r="80" spans="1:10" x14ac:dyDescent="0.3">
      <c r="A80" s="9" t="s">
        <v>123</v>
      </c>
      <c r="B80" s="10">
        <v>2016</v>
      </c>
      <c r="C80" s="11">
        <v>7</v>
      </c>
      <c r="D80" s="12">
        <v>39734</v>
      </c>
      <c r="E80" s="11">
        <v>0</v>
      </c>
      <c r="F80" s="11">
        <v>1</v>
      </c>
      <c r="G80" s="13">
        <v>14.5</v>
      </c>
      <c r="H80" s="13">
        <v>5</v>
      </c>
      <c r="I80" s="11">
        <v>1</v>
      </c>
      <c r="J80" s="11">
        <v>0</v>
      </c>
    </row>
    <row r="81" spans="1:10" x14ac:dyDescent="0.3">
      <c r="A81" s="9" t="s">
        <v>124</v>
      </c>
      <c r="B81" s="10">
        <v>2016</v>
      </c>
      <c r="C81" s="11">
        <v>8</v>
      </c>
      <c r="D81" s="12">
        <v>28649</v>
      </c>
      <c r="E81" s="11">
        <v>0</v>
      </c>
      <c r="F81" s="11">
        <v>0</v>
      </c>
      <c r="G81" s="13">
        <v>15.5</v>
      </c>
      <c r="H81" s="13">
        <v>8</v>
      </c>
      <c r="I81" s="11">
        <v>0</v>
      </c>
      <c r="J81" s="11">
        <v>0</v>
      </c>
    </row>
    <row r="82" spans="1:10" x14ac:dyDescent="0.3">
      <c r="A82" s="9" t="s">
        <v>125</v>
      </c>
      <c r="B82" s="10">
        <v>2016</v>
      </c>
      <c r="C82" s="11">
        <v>9</v>
      </c>
      <c r="D82" s="12">
        <v>24660</v>
      </c>
      <c r="E82" s="11">
        <v>0</v>
      </c>
      <c r="F82" s="11">
        <v>0</v>
      </c>
      <c r="G82" s="13">
        <v>16.5</v>
      </c>
      <c r="H82" s="13">
        <v>20</v>
      </c>
      <c r="I82" s="11">
        <v>1</v>
      </c>
      <c r="J82" s="11">
        <v>0</v>
      </c>
    </row>
    <row r="83" spans="1:10" x14ac:dyDescent="0.3">
      <c r="A83" s="9" t="s">
        <v>126</v>
      </c>
      <c r="B83" s="10">
        <v>2016</v>
      </c>
      <c r="C83" s="11">
        <v>10</v>
      </c>
      <c r="D83" s="12">
        <v>23974</v>
      </c>
      <c r="E83" s="11">
        <v>0</v>
      </c>
      <c r="F83" s="11">
        <v>0</v>
      </c>
      <c r="G83" s="13">
        <v>17.2</v>
      </c>
      <c r="H83" s="13">
        <v>40</v>
      </c>
      <c r="I83" s="11">
        <v>0</v>
      </c>
      <c r="J83" s="11">
        <v>0</v>
      </c>
    </row>
    <row r="84" spans="1:10" x14ac:dyDescent="0.3">
      <c r="A84" s="9" t="s">
        <v>127</v>
      </c>
      <c r="B84" s="10">
        <v>2016</v>
      </c>
      <c r="C84" s="11">
        <v>11</v>
      </c>
      <c r="D84" s="12">
        <v>26064</v>
      </c>
      <c r="E84" s="11">
        <v>0</v>
      </c>
      <c r="F84" s="11">
        <v>0</v>
      </c>
      <c r="G84" s="13">
        <v>17.5</v>
      </c>
      <c r="H84" s="13">
        <v>55</v>
      </c>
      <c r="I84" s="11">
        <v>1</v>
      </c>
      <c r="J84" s="11">
        <v>0</v>
      </c>
    </row>
    <row r="85" spans="1:10" x14ac:dyDescent="0.3">
      <c r="A85" s="9" t="s">
        <v>128</v>
      </c>
      <c r="B85" s="10">
        <v>2016</v>
      </c>
      <c r="C85" s="11">
        <v>12</v>
      </c>
      <c r="D85" s="12">
        <v>29216</v>
      </c>
      <c r="E85" s="11">
        <v>0</v>
      </c>
      <c r="F85" s="11">
        <v>1</v>
      </c>
      <c r="G85" s="13">
        <v>17</v>
      </c>
      <c r="H85" s="13">
        <v>80</v>
      </c>
      <c r="I85" s="11">
        <v>1</v>
      </c>
      <c r="J85" s="11">
        <v>0</v>
      </c>
    </row>
    <row r="86" spans="1:10" x14ac:dyDescent="0.3">
      <c r="A86" s="9" t="s">
        <v>129</v>
      </c>
      <c r="B86" s="10">
        <v>2017</v>
      </c>
      <c r="C86" s="11">
        <v>1</v>
      </c>
      <c r="D86" s="12">
        <v>23643</v>
      </c>
      <c r="E86" s="11">
        <v>0</v>
      </c>
      <c r="F86" s="11">
        <v>0</v>
      </c>
      <c r="G86" s="13">
        <v>16.5</v>
      </c>
      <c r="H86" s="13">
        <v>95</v>
      </c>
      <c r="I86" s="11">
        <v>0</v>
      </c>
      <c r="J86" s="11">
        <v>0</v>
      </c>
    </row>
    <row r="87" spans="1:10" x14ac:dyDescent="0.3">
      <c r="A87" s="9" t="s">
        <v>130</v>
      </c>
      <c r="B87" s="10">
        <v>2017</v>
      </c>
      <c r="C87" s="11">
        <v>2</v>
      </c>
      <c r="D87" s="12">
        <v>22397</v>
      </c>
      <c r="E87" s="11">
        <v>0</v>
      </c>
      <c r="F87" s="11">
        <v>0</v>
      </c>
      <c r="G87" s="13">
        <v>16.3</v>
      </c>
      <c r="H87" s="13">
        <v>110</v>
      </c>
      <c r="I87" s="11">
        <v>1</v>
      </c>
      <c r="J87" s="11">
        <v>0</v>
      </c>
    </row>
    <row r="88" spans="1:10" x14ac:dyDescent="0.3">
      <c r="A88" s="9" t="s">
        <v>131</v>
      </c>
      <c r="B88" s="10">
        <v>2017</v>
      </c>
      <c r="C88" s="11">
        <v>3</v>
      </c>
      <c r="D88" s="12">
        <v>35476</v>
      </c>
      <c r="E88" s="11">
        <v>0</v>
      </c>
      <c r="F88" s="11">
        <v>0</v>
      </c>
      <c r="G88" s="13">
        <v>16.2</v>
      </c>
      <c r="H88" s="13">
        <v>100</v>
      </c>
      <c r="I88" s="11">
        <v>0</v>
      </c>
      <c r="J88" s="11">
        <v>0</v>
      </c>
    </row>
    <row r="89" spans="1:10" x14ac:dyDescent="0.3">
      <c r="A89" s="9" t="s">
        <v>132</v>
      </c>
      <c r="B89" s="10">
        <v>2017</v>
      </c>
      <c r="C89" s="11">
        <v>4</v>
      </c>
      <c r="D89" s="12">
        <v>53881</v>
      </c>
      <c r="E89" s="11">
        <v>1</v>
      </c>
      <c r="F89" s="11">
        <v>1</v>
      </c>
      <c r="G89" s="13">
        <v>16</v>
      </c>
      <c r="H89" s="13">
        <v>40</v>
      </c>
      <c r="I89" s="11">
        <v>0</v>
      </c>
      <c r="J89" s="11">
        <v>0</v>
      </c>
    </row>
    <row r="90" spans="1:10" x14ac:dyDescent="0.3">
      <c r="A90" s="9" t="s">
        <v>133</v>
      </c>
      <c r="B90" s="10">
        <v>2017</v>
      </c>
      <c r="C90" s="11">
        <v>5</v>
      </c>
      <c r="D90" s="12">
        <v>27931</v>
      </c>
      <c r="E90" s="11">
        <v>0</v>
      </c>
      <c r="F90" s="11">
        <v>0</v>
      </c>
      <c r="G90" s="13">
        <v>15.5</v>
      </c>
      <c r="H90" s="13">
        <v>10</v>
      </c>
      <c r="I90" s="11">
        <v>1</v>
      </c>
      <c r="J90" s="11">
        <v>0</v>
      </c>
    </row>
    <row r="91" spans="1:10" x14ac:dyDescent="0.3">
      <c r="A91" s="9" t="s">
        <v>134</v>
      </c>
      <c r="B91" s="10">
        <v>2017</v>
      </c>
      <c r="C91" s="11">
        <v>6</v>
      </c>
      <c r="D91" s="12">
        <v>32389</v>
      </c>
      <c r="E91" s="11">
        <v>0</v>
      </c>
      <c r="F91" s="11">
        <v>0</v>
      </c>
      <c r="G91" s="13">
        <v>14.8</v>
      </c>
      <c r="H91" s="13">
        <v>5</v>
      </c>
      <c r="I91" s="11">
        <v>0</v>
      </c>
      <c r="J91" s="11">
        <v>0</v>
      </c>
    </row>
    <row r="92" spans="1:10" x14ac:dyDescent="0.3">
      <c r="A92" s="9" t="s">
        <v>135</v>
      </c>
      <c r="B92" s="10">
        <v>2017</v>
      </c>
      <c r="C92" s="11">
        <v>7</v>
      </c>
      <c r="D92" s="12">
        <v>43110</v>
      </c>
      <c r="E92" s="11">
        <v>0</v>
      </c>
      <c r="F92" s="11">
        <v>1</v>
      </c>
      <c r="G92" s="13">
        <v>14.5</v>
      </c>
      <c r="H92" s="13">
        <v>5</v>
      </c>
      <c r="I92" s="11">
        <v>1</v>
      </c>
      <c r="J92" s="11">
        <v>0</v>
      </c>
    </row>
    <row r="93" spans="1:10" x14ac:dyDescent="0.3">
      <c r="A93" s="9" t="s">
        <v>136</v>
      </c>
      <c r="B93" s="10">
        <v>2017</v>
      </c>
      <c r="C93" s="11">
        <v>8</v>
      </c>
      <c r="D93" s="12">
        <v>39807</v>
      </c>
      <c r="E93" s="11">
        <v>0</v>
      </c>
      <c r="F93" s="11">
        <v>0</v>
      </c>
      <c r="G93" s="13">
        <v>15.5</v>
      </c>
      <c r="H93" s="13">
        <v>8</v>
      </c>
      <c r="I93" s="11">
        <v>0</v>
      </c>
      <c r="J93" s="11">
        <v>0</v>
      </c>
    </row>
    <row r="94" spans="1:10" x14ac:dyDescent="0.3">
      <c r="A94" s="9" t="s">
        <v>137</v>
      </c>
      <c r="B94" s="10">
        <v>2017</v>
      </c>
      <c r="C94" s="11">
        <v>9</v>
      </c>
      <c r="D94" s="12">
        <v>25693</v>
      </c>
      <c r="E94" s="11">
        <v>0</v>
      </c>
      <c r="F94" s="11">
        <v>0</v>
      </c>
      <c r="G94" s="13">
        <v>16.5</v>
      </c>
      <c r="H94" s="13">
        <v>20</v>
      </c>
      <c r="I94" s="11">
        <v>1</v>
      </c>
      <c r="J94" s="11">
        <v>0</v>
      </c>
    </row>
    <row r="95" spans="1:10" x14ac:dyDescent="0.3">
      <c r="A95" s="9" t="s">
        <v>138</v>
      </c>
      <c r="B95" s="10">
        <v>2017</v>
      </c>
      <c r="C95" s="11">
        <v>10</v>
      </c>
      <c r="D95" s="12">
        <v>24615</v>
      </c>
      <c r="E95" s="11">
        <v>0</v>
      </c>
      <c r="F95" s="11">
        <v>0</v>
      </c>
      <c r="G95" s="13">
        <v>17.2</v>
      </c>
      <c r="H95" s="13">
        <v>40</v>
      </c>
      <c r="I95" s="11">
        <v>0</v>
      </c>
      <c r="J95" s="11">
        <v>0</v>
      </c>
    </row>
    <row r="96" spans="1:10" x14ac:dyDescent="0.3">
      <c r="A96" s="9" t="s">
        <v>139</v>
      </c>
      <c r="B96" s="10">
        <v>2017</v>
      </c>
      <c r="C96" s="11">
        <v>11</v>
      </c>
      <c r="D96" s="12">
        <v>24485</v>
      </c>
      <c r="E96" s="11">
        <v>0</v>
      </c>
      <c r="F96" s="11">
        <v>0</v>
      </c>
      <c r="G96" s="13">
        <v>17.5</v>
      </c>
      <c r="H96" s="13">
        <v>55</v>
      </c>
      <c r="I96" s="11">
        <v>1</v>
      </c>
      <c r="J96" s="11">
        <v>0</v>
      </c>
    </row>
    <row r="97" spans="1:10" x14ac:dyDescent="0.3">
      <c r="A97" s="9" t="s">
        <v>140</v>
      </c>
      <c r="B97" s="10">
        <v>2017</v>
      </c>
      <c r="C97" s="11">
        <v>12</v>
      </c>
      <c r="D97" s="12">
        <v>29185</v>
      </c>
      <c r="E97" s="11">
        <v>0</v>
      </c>
      <c r="F97" s="11">
        <v>1</v>
      </c>
      <c r="G97" s="13">
        <v>17</v>
      </c>
      <c r="H97" s="13">
        <v>80</v>
      </c>
      <c r="I97" s="11">
        <v>1</v>
      </c>
      <c r="J97" s="11">
        <v>0</v>
      </c>
    </row>
    <row r="98" spans="1:10" x14ac:dyDescent="0.3">
      <c r="A98" s="9" t="s">
        <v>141</v>
      </c>
      <c r="B98" s="10">
        <v>2018</v>
      </c>
      <c r="C98" s="11">
        <v>1</v>
      </c>
      <c r="D98" s="12">
        <v>28229</v>
      </c>
      <c r="E98" s="11">
        <v>0</v>
      </c>
      <c r="F98" s="11">
        <v>0</v>
      </c>
      <c r="G98" s="13">
        <v>16.5</v>
      </c>
      <c r="H98" s="13">
        <v>95</v>
      </c>
      <c r="I98" s="11">
        <v>0</v>
      </c>
      <c r="J98" s="11">
        <v>0</v>
      </c>
    </row>
    <row r="99" spans="1:10" x14ac:dyDescent="0.3">
      <c r="A99" s="9" t="s">
        <v>142</v>
      </c>
      <c r="B99" s="10">
        <v>2018</v>
      </c>
      <c r="C99" s="11">
        <v>2</v>
      </c>
      <c r="D99" s="12">
        <v>25986</v>
      </c>
      <c r="E99" s="11">
        <v>0</v>
      </c>
      <c r="F99" s="11">
        <v>0</v>
      </c>
      <c r="G99" s="13">
        <v>16.3</v>
      </c>
      <c r="H99" s="13">
        <v>110</v>
      </c>
      <c r="I99" s="11">
        <v>1</v>
      </c>
      <c r="J99" s="11">
        <v>0</v>
      </c>
    </row>
    <row r="100" spans="1:10" x14ac:dyDescent="0.3">
      <c r="A100" s="9" t="s">
        <v>143</v>
      </c>
      <c r="B100" s="10">
        <v>2018</v>
      </c>
      <c r="C100" s="11">
        <v>3</v>
      </c>
      <c r="D100" s="12">
        <v>36075</v>
      </c>
      <c r="E100" s="11">
        <v>0</v>
      </c>
      <c r="F100" s="11">
        <v>0</v>
      </c>
      <c r="G100" s="13">
        <v>16.2</v>
      </c>
      <c r="H100" s="13">
        <v>100</v>
      </c>
      <c r="I100" s="11">
        <v>0</v>
      </c>
      <c r="J100" s="11">
        <v>0</v>
      </c>
    </row>
    <row r="101" spans="1:10" x14ac:dyDescent="0.3">
      <c r="A101" s="9" t="s">
        <v>144</v>
      </c>
      <c r="B101" s="10">
        <v>2018</v>
      </c>
      <c r="C101" s="11">
        <v>4</v>
      </c>
      <c r="D101" s="12">
        <v>56198</v>
      </c>
      <c r="E101" s="11">
        <v>1</v>
      </c>
      <c r="F101" s="11">
        <v>1</v>
      </c>
      <c r="G101" s="13">
        <v>16</v>
      </c>
      <c r="H101" s="13">
        <v>40</v>
      </c>
      <c r="I101" s="11">
        <v>0</v>
      </c>
      <c r="J101" s="11">
        <v>0</v>
      </c>
    </row>
    <row r="102" spans="1:10" x14ac:dyDescent="0.3">
      <c r="A102" s="9" t="s">
        <v>145</v>
      </c>
      <c r="B102" s="10">
        <v>2018</v>
      </c>
      <c r="C102" s="11">
        <v>5</v>
      </c>
      <c r="D102" s="12">
        <v>28215</v>
      </c>
      <c r="E102" s="11">
        <v>0</v>
      </c>
      <c r="F102" s="11">
        <v>0</v>
      </c>
      <c r="G102" s="13">
        <v>15.5</v>
      </c>
      <c r="H102" s="13">
        <v>10</v>
      </c>
      <c r="I102" s="11">
        <v>1</v>
      </c>
      <c r="J102" s="11">
        <v>0</v>
      </c>
    </row>
    <row r="103" spans="1:10" x14ac:dyDescent="0.3">
      <c r="A103" s="9" t="s">
        <v>146</v>
      </c>
      <c r="B103" s="10">
        <v>2018</v>
      </c>
      <c r="C103" s="11">
        <v>6</v>
      </c>
      <c r="D103" s="12">
        <v>32797</v>
      </c>
      <c r="E103" s="11">
        <v>0</v>
      </c>
      <c r="F103" s="11">
        <v>0</v>
      </c>
      <c r="G103" s="13">
        <v>14.8</v>
      </c>
      <c r="H103" s="13">
        <v>5</v>
      </c>
      <c r="I103" s="11">
        <v>0</v>
      </c>
      <c r="J103" s="11">
        <v>0</v>
      </c>
    </row>
    <row r="104" spans="1:10" x14ac:dyDescent="0.3">
      <c r="A104" s="9" t="s">
        <v>147</v>
      </c>
      <c r="B104" s="10">
        <v>2018</v>
      </c>
      <c r="C104" s="11">
        <v>7</v>
      </c>
      <c r="D104" s="12">
        <v>45387</v>
      </c>
      <c r="E104" s="11">
        <v>0</v>
      </c>
      <c r="F104" s="11">
        <v>1</v>
      </c>
      <c r="G104" s="13">
        <v>14.5</v>
      </c>
      <c r="H104" s="13">
        <v>5</v>
      </c>
      <c r="I104" s="11">
        <v>1</v>
      </c>
      <c r="J104" s="11">
        <v>0</v>
      </c>
    </row>
    <row r="105" spans="1:10" x14ac:dyDescent="0.3">
      <c r="A105" s="9" t="s">
        <v>148</v>
      </c>
      <c r="B105" s="10">
        <v>2018</v>
      </c>
      <c r="C105" s="11">
        <v>8</v>
      </c>
      <c r="D105" s="12">
        <v>37716</v>
      </c>
      <c r="E105" s="11">
        <v>0</v>
      </c>
      <c r="F105" s="11">
        <v>0</v>
      </c>
      <c r="G105" s="13">
        <v>15.5</v>
      </c>
      <c r="H105" s="13">
        <v>8</v>
      </c>
      <c r="I105" s="11">
        <v>0</v>
      </c>
      <c r="J105" s="11">
        <v>0</v>
      </c>
    </row>
    <row r="106" spans="1:10" x14ac:dyDescent="0.3">
      <c r="A106" s="9" t="s">
        <v>149</v>
      </c>
      <c r="B106" s="10">
        <v>2018</v>
      </c>
      <c r="C106" s="11">
        <v>9</v>
      </c>
      <c r="D106" s="12">
        <v>29314</v>
      </c>
      <c r="E106" s="11">
        <v>0</v>
      </c>
      <c r="F106" s="11">
        <v>0</v>
      </c>
      <c r="G106" s="13">
        <v>16.5</v>
      </c>
      <c r="H106" s="13">
        <v>20</v>
      </c>
      <c r="I106" s="11">
        <v>1</v>
      </c>
      <c r="J106" s="11">
        <v>0</v>
      </c>
    </row>
    <row r="107" spans="1:10" x14ac:dyDescent="0.3">
      <c r="A107" s="9" t="s">
        <v>150</v>
      </c>
      <c r="B107" s="10">
        <v>2018</v>
      </c>
      <c r="C107" s="11">
        <v>10</v>
      </c>
      <c r="D107" s="12">
        <v>28467</v>
      </c>
      <c r="E107" s="11">
        <v>0</v>
      </c>
      <c r="F107" s="11">
        <v>0</v>
      </c>
      <c r="G107" s="13">
        <v>17.2</v>
      </c>
      <c r="H107" s="13">
        <v>40</v>
      </c>
      <c r="I107" s="11">
        <v>0</v>
      </c>
      <c r="J107" s="11">
        <v>0</v>
      </c>
    </row>
    <row r="108" spans="1:10" x14ac:dyDescent="0.3">
      <c r="A108" s="9" t="s">
        <v>151</v>
      </c>
      <c r="B108" s="10">
        <v>2018</v>
      </c>
      <c r="C108" s="11">
        <v>11</v>
      </c>
      <c r="D108" s="12">
        <v>31737</v>
      </c>
      <c r="E108" s="11">
        <v>0</v>
      </c>
      <c r="F108" s="11">
        <v>0</v>
      </c>
      <c r="G108" s="13">
        <v>17.5</v>
      </c>
      <c r="H108" s="13">
        <v>55</v>
      </c>
      <c r="I108" s="11">
        <v>1</v>
      </c>
      <c r="J108" s="11">
        <v>0</v>
      </c>
    </row>
    <row r="109" spans="1:10" x14ac:dyDescent="0.3">
      <c r="A109" s="9" t="s">
        <v>152</v>
      </c>
      <c r="B109" s="10">
        <v>2018</v>
      </c>
      <c r="C109" s="11">
        <v>12</v>
      </c>
      <c r="D109" s="12">
        <v>36564</v>
      </c>
      <c r="E109" s="11">
        <v>0</v>
      </c>
      <c r="F109" s="11">
        <v>1</v>
      </c>
      <c r="G109" s="13">
        <v>17</v>
      </c>
      <c r="H109" s="13">
        <v>80</v>
      </c>
      <c r="I109" s="11">
        <v>1</v>
      </c>
      <c r="J109" s="11">
        <v>0</v>
      </c>
    </row>
    <row r="110" spans="1:10" x14ac:dyDescent="0.3">
      <c r="A110" s="9" t="s">
        <v>153</v>
      </c>
      <c r="B110" s="10">
        <v>2019</v>
      </c>
      <c r="C110" s="11">
        <v>1</v>
      </c>
      <c r="D110" s="12">
        <v>46907</v>
      </c>
      <c r="E110" s="11">
        <v>0</v>
      </c>
      <c r="F110" s="11">
        <v>0</v>
      </c>
      <c r="G110" s="13">
        <v>16.5</v>
      </c>
      <c r="H110" s="13">
        <v>95</v>
      </c>
      <c r="I110" s="11">
        <v>0</v>
      </c>
      <c r="J110" s="11">
        <v>0</v>
      </c>
    </row>
    <row r="111" spans="1:10" x14ac:dyDescent="0.3">
      <c r="A111" s="9" t="s">
        <v>154</v>
      </c>
      <c r="B111" s="10">
        <v>2019</v>
      </c>
      <c r="C111" s="11">
        <v>2</v>
      </c>
      <c r="D111" s="12">
        <v>42172</v>
      </c>
      <c r="E111" s="11">
        <v>0</v>
      </c>
      <c r="F111" s="11">
        <v>0</v>
      </c>
      <c r="G111" s="13">
        <v>16.3</v>
      </c>
      <c r="H111" s="13">
        <v>110</v>
      </c>
      <c r="I111" s="11">
        <v>1</v>
      </c>
      <c r="J111" s="11">
        <v>0</v>
      </c>
    </row>
    <row r="112" spans="1:10" x14ac:dyDescent="0.3">
      <c r="A112" s="9" t="s">
        <v>155</v>
      </c>
      <c r="B112" s="10">
        <v>2019</v>
      </c>
      <c r="C112" s="11">
        <v>3</v>
      </c>
      <c r="D112" s="12">
        <v>50875</v>
      </c>
      <c r="E112" s="11">
        <v>0</v>
      </c>
      <c r="F112" s="11">
        <v>0</v>
      </c>
      <c r="G112" s="13">
        <v>16.2</v>
      </c>
      <c r="H112" s="13">
        <v>100</v>
      </c>
      <c r="I112" s="11">
        <v>0</v>
      </c>
      <c r="J112" s="11">
        <v>0</v>
      </c>
    </row>
    <row r="113" spans="1:10" x14ac:dyDescent="0.3">
      <c r="A113" s="9" t="s">
        <v>156</v>
      </c>
      <c r="B113" s="10">
        <v>2019</v>
      </c>
      <c r="C113" s="11">
        <v>4</v>
      </c>
      <c r="D113" s="12">
        <v>95252</v>
      </c>
      <c r="E113" s="11">
        <v>1</v>
      </c>
      <c r="F113" s="11">
        <v>1</v>
      </c>
      <c r="G113" s="13">
        <v>16</v>
      </c>
      <c r="H113" s="13">
        <v>40</v>
      </c>
      <c r="I113" s="11">
        <v>0</v>
      </c>
      <c r="J113" s="11">
        <v>0</v>
      </c>
    </row>
    <row r="114" spans="1:10" x14ac:dyDescent="0.3">
      <c r="A114" s="9" t="s">
        <v>157</v>
      </c>
      <c r="B114" s="10">
        <v>2019</v>
      </c>
      <c r="C114" s="11">
        <v>5</v>
      </c>
      <c r="D114" s="12">
        <v>53286</v>
      </c>
      <c r="E114" s="11">
        <v>0</v>
      </c>
      <c r="F114" s="11">
        <v>0</v>
      </c>
      <c r="G114" s="13">
        <v>15.5</v>
      </c>
      <c r="H114" s="13">
        <v>10</v>
      </c>
      <c r="I114" s="11">
        <v>1</v>
      </c>
      <c r="J114" s="11">
        <v>0</v>
      </c>
    </row>
    <row r="115" spans="1:10" x14ac:dyDescent="0.3">
      <c r="A115" s="9" t="s">
        <v>158</v>
      </c>
      <c r="B115" s="10">
        <v>2019</v>
      </c>
      <c r="C115" s="11">
        <v>6</v>
      </c>
      <c r="D115" s="12">
        <v>67712</v>
      </c>
      <c r="E115" s="11">
        <v>0</v>
      </c>
      <c r="F115" s="11">
        <v>0</v>
      </c>
      <c r="G115" s="13">
        <v>14.8</v>
      </c>
      <c r="H115" s="13">
        <v>5</v>
      </c>
      <c r="I115" s="11">
        <v>0</v>
      </c>
      <c r="J115" s="11">
        <v>0</v>
      </c>
    </row>
    <row r="116" spans="1:10" x14ac:dyDescent="0.3">
      <c r="A116" s="9" t="s">
        <v>159</v>
      </c>
      <c r="B116" s="10">
        <v>2019</v>
      </c>
      <c r="C116" s="11">
        <v>7</v>
      </c>
      <c r="D116" s="12">
        <v>76581</v>
      </c>
      <c r="E116" s="11">
        <v>0</v>
      </c>
      <c r="F116" s="11">
        <v>1</v>
      </c>
      <c r="G116" s="13">
        <v>14.5</v>
      </c>
      <c r="H116" s="13">
        <v>5</v>
      </c>
      <c r="I116" s="11">
        <v>1</v>
      </c>
      <c r="J116" s="11">
        <v>0</v>
      </c>
    </row>
    <row r="117" spans="1:10" x14ac:dyDescent="0.3">
      <c r="A117" s="9" t="s">
        <v>160</v>
      </c>
      <c r="B117" s="10">
        <v>2019</v>
      </c>
      <c r="C117" s="11">
        <v>8</v>
      </c>
      <c r="D117" s="12">
        <v>68792</v>
      </c>
      <c r="E117" s="11">
        <v>0</v>
      </c>
      <c r="F117" s="11">
        <v>0</v>
      </c>
      <c r="G117" s="13">
        <v>15.5</v>
      </c>
      <c r="H117" s="13">
        <v>8</v>
      </c>
      <c r="I117" s="11">
        <v>0</v>
      </c>
      <c r="J117" s="11">
        <v>0</v>
      </c>
    </row>
    <row r="118" spans="1:10" x14ac:dyDescent="0.3">
      <c r="A118" s="9" t="s">
        <v>161</v>
      </c>
      <c r="B118" s="10">
        <v>2019</v>
      </c>
      <c r="C118" s="11">
        <v>9</v>
      </c>
      <c r="D118" s="12">
        <v>49358</v>
      </c>
      <c r="E118" s="11">
        <v>0</v>
      </c>
      <c r="F118" s="11">
        <v>0</v>
      </c>
      <c r="G118" s="13">
        <v>16.5</v>
      </c>
      <c r="H118" s="13">
        <v>20</v>
      </c>
      <c r="I118" s="11">
        <v>1</v>
      </c>
      <c r="J118" s="11">
        <v>0</v>
      </c>
    </row>
    <row r="119" spans="1:10" x14ac:dyDescent="0.3">
      <c r="A119" s="9" t="s">
        <v>162</v>
      </c>
      <c r="B119" s="10">
        <v>2019</v>
      </c>
      <c r="C119" s="11">
        <v>10</v>
      </c>
      <c r="D119" s="12">
        <v>41663</v>
      </c>
      <c r="E119" s="11">
        <v>0</v>
      </c>
      <c r="F119" s="11">
        <v>0</v>
      </c>
      <c r="G119" s="13">
        <v>17.2</v>
      </c>
      <c r="H119" s="13">
        <v>40</v>
      </c>
      <c r="I119" s="11">
        <v>0</v>
      </c>
      <c r="J119" s="11">
        <v>0</v>
      </c>
    </row>
    <row r="120" spans="1:10" x14ac:dyDescent="0.3">
      <c r="A120" s="9" t="s">
        <v>163</v>
      </c>
      <c r="B120" s="10">
        <v>2019</v>
      </c>
      <c r="C120" s="11">
        <v>11</v>
      </c>
      <c r="D120" s="12">
        <v>50161</v>
      </c>
      <c r="E120" s="11">
        <v>0</v>
      </c>
      <c r="F120" s="11">
        <v>0</v>
      </c>
      <c r="G120" s="13">
        <v>17.5</v>
      </c>
      <c r="H120" s="13">
        <v>55</v>
      </c>
      <c r="I120" s="11">
        <v>1</v>
      </c>
      <c r="J120" s="11">
        <v>0</v>
      </c>
    </row>
    <row r="121" spans="1:10" x14ac:dyDescent="0.3">
      <c r="A121" s="9" t="s">
        <v>164</v>
      </c>
      <c r="B121" s="10">
        <v>2019</v>
      </c>
      <c r="C121" s="11">
        <v>12</v>
      </c>
      <c r="D121" s="12">
        <v>63716</v>
      </c>
      <c r="E121" s="11">
        <v>0</v>
      </c>
      <c r="F121" s="11">
        <v>1</v>
      </c>
      <c r="G121" s="13">
        <v>17</v>
      </c>
      <c r="H121" s="13">
        <v>80</v>
      </c>
      <c r="I121" s="11">
        <v>1</v>
      </c>
      <c r="J121" s="11">
        <v>0</v>
      </c>
    </row>
    <row r="122" spans="1:10" x14ac:dyDescent="0.3">
      <c r="A122" s="9" t="s">
        <v>165</v>
      </c>
      <c r="B122" s="10">
        <v>2020</v>
      </c>
      <c r="C122" s="11">
        <v>1</v>
      </c>
      <c r="D122" s="12">
        <v>16580</v>
      </c>
      <c r="E122" s="11">
        <v>0</v>
      </c>
      <c r="F122" s="11">
        <v>0</v>
      </c>
      <c r="G122" s="13">
        <v>16.5</v>
      </c>
      <c r="H122" s="13">
        <v>95</v>
      </c>
      <c r="I122" s="11">
        <v>0</v>
      </c>
      <c r="J122" s="11">
        <v>1</v>
      </c>
    </row>
    <row r="123" spans="1:10" x14ac:dyDescent="0.3">
      <c r="A123" s="9" t="s">
        <v>166</v>
      </c>
      <c r="B123" s="10">
        <v>2020</v>
      </c>
      <c r="C123" s="11">
        <v>2</v>
      </c>
      <c r="D123" s="12">
        <v>13347</v>
      </c>
      <c r="E123" s="11">
        <v>0</v>
      </c>
      <c r="F123" s="11">
        <v>0</v>
      </c>
      <c r="G123" s="13">
        <v>16.3</v>
      </c>
      <c r="H123" s="13">
        <v>110</v>
      </c>
      <c r="I123" s="11">
        <v>1</v>
      </c>
      <c r="J123" s="11">
        <v>1</v>
      </c>
    </row>
    <row r="124" spans="1:10" x14ac:dyDescent="0.3">
      <c r="A124" s="9" t="s">
        <v>167</v>
      </c>
      <c r="B124" s="10">
        <v>2020</v>
      </c>
      <c r="C124" s="11">
        <v>3</v>
      </c>
      <c r="D124" s="12">
        <v>7258</v>
      </c>
      <c r="E124" s="11">
        <v>0</v>
      </c>
      <c r="F124" s="11">
        <v>0</v>
      </c>
      <c r="G124" s="13">
        <v>16.2</v>
      </c>
      <c r="H124" s="13">
        <v>100</v>
      </c>
      <c r="I124" s="11">
        <v>0</v>
      </c>
      <c r="J124" s="11">
        <v>1</v>
      </c>
    </row>
    <row r="125" spans="1:10" x14ac:dyDescent="0.3">
      <c r="A125" s="9" t="s">
        <v>168</v>
      </c>
      <c r="B125" s="10">
        <v>2020</v>
      </c>
      <c r="C125" s="11">
        <v>4</v>
      </c>
      <c r="D125" s="12">
        <v>5751</v>
      </c>
      <c r="E125" s="11">
        <v>1</v>
      </c>
      <c r="F125" s="11">
        <v>1</v>
      </c>
      <c r="G125" s="13">
        <v>16</v>
      </c>
      <c r="H125" s="13">
        <v>40</v>
      </c>
      <c r="I125" s="11">
        <v>0</v>
      </c>
      <c r="J125" s="11">
        <v>1</v>
      </c>
    </row>
    <row r="126" spans="1:10" x14ac:dyDescent="0.3">
      <c r="A126" s="9" t="s">
        <v>169</v>
      </c>
      <c r="B126" s="10">
        <v>2020</v>
      </c>
      <c r="C126" s="11">
        <v>5</v>
      </c>
      <c r="D126" s="12">
        <v>3767</v>
      </c>
      <c r="E126" s="11">
        <v>0</v>
      </c>
      <c r="F126" s="11">
        <v>0</v>
      </c>
      <c r="G126" s="13">
        <v>15.5</v>
      </c>
      <c r="H126" s="13">
        <v>10</v>
      </c>
      <c r="I126" s="11">
        <v>1</v>
      </c>
      <c r="J126" s="11">
        <v>1</v>
      </c>
    </row>
    <row r="127" spans="1:10" x14ac:dyDescent="0.3">
      <c r="A127" s="9" t="s">
        <v>170</v>
      </c>
      <c r="B127" s="10">
        <v>2020</v>
      </c>
      <c r="C127" s="11">
        <v>6</v>
      </c>
      <c r="D127" s="12">
        <v>4511</v>
      </c>
      <c r="E127" s="11">
        <v>0</v>
      </c>
      <c r="F127" s="11">
        <v>0</v>
      </c>
      <c r="G127" s="13">
        <v>14.8</v>
      </c>
      <c r="H127" s="13">
        <v>5</v>
      </c>
      <c r="I127" s="11">
        <v>0</v>
      </c>
      <c r="J127" s="11">
        <v>1</v>
      </c>
    </row>
    <row r="128" spans="1:10" x14ac:dyDescent="0.3">
      <c r="A128" s="9" t="s">
        <v>171</v>
      </c>
      <c r="B128" s="10">
        <v>2020</v>
      </c>
      <c r="C128" s="11">
        <v>7</v>
      </c>
      <c r="D128" s="12">
        <v>4860</v>
      </c>
      <c r="E128" s="11">
        <v>0</v>
      </c>
      <c r="F128" s="11">
        <v>1</v>
      </c>
      <c r="G128" s="13">
        <v>14.5</v>
      </c>
      <c r="H128" s="13">
        <v>5</v>
      </c>
      <c r="I128" s="11">
        <v>1</v>
      </c>
      <c r="J128" s="11">
        <v>1</v>
      </c>
    </row>
    <row r="129" spans="1:10" x14ac:dyDescent="0.3">
      <c r="A129" s="9" t="s">
        <v>172</v>
      </c>
      <c r="B129" s="10">
        <v>2020</v>
      </c>
      <c r="C129" s="11">
        <v>8</v>
      </c>
      <c r="D129" s="12">
        <v>4352</v>
      </c>
      <c r="E129" s="11">
        <v>0</v>
      </c>
      <c r="F129" s="11">
        <v>0</v>
      </c>
      <c r="G129" s="13">
        <v>15.5</v>
      </c>
      <c r="H129" s="13">
        <v>8</v>
      </c>
      <c r="I129" s="11">
        <v>0</v>
      </c>
      <c r="J129" s="11">
        <v>1</v>
      </c>
    </row>
    <row r="130" spans="1:10" x14ac:dyDescent="0.3">
      <c r="A130" s="9" t="s">
        <v>173</v>
      </c>
      <c r="B130" s="10">
        <v>2020</v>
      </c>
      <c r="C130" s="11">
        <v>9</v>
      </c>
      <c r="D130" s="12">
        <v>3385</v>
      </c>
      <c r="E130" s="11">
        <v>0</v>
      </c>
      <c r="F130" s="11">
        <v>0</v>
      </c>
      <c r="G130" s="13">
        <v>16.5</v>
      </c>
      <c r="H130" s="13">
        <v>20</v>
      </c>
      <c r="I130" s="11">
        <v>1</v>
      </c>
      <c r="J130" s="11">
        <v>1</v>
      </c>
    </row>
    <row r="131" spans="1:10" x14ac:dyDescent="0.3">
      <c r="A131" s="9" t="s">
        <v>174</v>
      </c>
      <c r="B131" s="10">
        <v>2020</v>
      </c>
      <c r="C131" s="11">
        <v>10</v>
      </c>
      <c r="D131" s="12">
        <v>2993</v>
      </c>
      <c r="E131" s="11">
        <v>0</v>
      </c>
      <c r="F131" s="11">
        <v>0</v>
      </c>
      <c r="G131" s="13">
        <v>17.2</v>
      </c>
      <c r="H131" s="13">
        <v>40</v>
      </c>
      <c r="I131" s="11">
        <v>0</v>
      </c>
      <c r="J131" s="11">
        <v>1</v>
      </c>
    </row>
    <row r="132" spans="1:10" x14ac:dyDescent="0.3">
      <c r="A132" s="9" t="s">
        <v>175</v>
      </c>
      <c r="B132" s="10">
        <v>2020</v>
      </c>
      <c r="C132" s="11">
        <v>11</v>
      </c>
      <c r="D132" s="12">
        <v>2732</v>
      </c>
      <c r="E132" s="11">
        <v>0</v>
      </c>
      <c r="F132" s="11">
        <v>0</v>
      </c>
      <c r="G132" s="13">
        <v>17.5</v>
      </c>
      <c r="H132" s="13">
        <v>55</v>
      </c>
      <c r="I132" s="11">
        <v>1</v>
      </c>
      <c r="J132" s="11">
        <v>1</v>
      </c>
    </row>
    <row r="133" spans="1:10" x14ac:dyDescent="0.3">
      <c r="A133" s="9" t="s">
        <v>176</v>
      </c>
      <c r="B133" s="10">
        <v>2020</v>
      </c>
      <c r="C133" s="11">
        <v>12</v>
      </c>
      <c r="D133" s="12">
        <v>4101</v>
      </c>
      <c r="E133" s="11">
        <v>0</v>
      </c>
      <c r="F133" s="11">
        <v>1</v>
      </c>
      <c r="G133" s="13">
        <v>17</v>
      </c>
      <c r="H133" s="13">
        <v>80</v>
      </c>
      <c r="I133" s="11">
        <v>1</v>
      </c>
      <c r="J133" s="11">
        <v>1</v>
      </c>
    </row>
    <row r="134" spans="1:10" x14ac:dyDescent="0.3">
      <c r="A134" s="9" t="s">
        <v>177</v>
      </c>
      <c r="B134" s="10">
        <v>2021</v>
      </c>
      <c r="C134" s="11">
        <v>1</v>
      </c>
      <c r="D134" s="12">
        <v>7930</v>
      </c>
      <c r="E134" s="11">
        <v>0</v>
      </c>
      <c r="F134" s="11">
        <v>0</v>
      </c>
      <c r="G134" s="13">
        <v>16.5</v>
      </c>
      <c r="H134" s="13">
        <v>95</v>
      </c>
      <c r="I134" s="11">
        <v>0</v>
      </c>
      <c r="J134" s="11">
        <v>1</v>
      </c>
    </row>
    <row r="135" spans="1:10" x14ac:dyDescent="0.3">
      <c r="A135" s="9" t="s">
        <v>178</v>
      </c>
      <c r="B135" s="10">
        <v>2021</v>
      </c>
      <c r="C135" s="11">
        <v>2</v>
      </c>
      <c r="D135" s="12">
        <v>8303</v>
      </c>
      <c r="E135" s="11">
        <v>0</v>
      </c>
      <c r="F135" s="11">
        <v>0</v>
      </c>
      <c r="G135" s="13">
        <v>16.3</v>
      </c>
      <c r="H135" s="13">
        <v>110</v>
      </c>
      <c r="I135" s="11">
        <v>1</v>
      </c>
      <c r="J135" s="11">
        <v>1</v>
      </c>
    </row>
    <row r="136" spans="1:10" x14ac:dyDescent="0.3">
      <c r="A136" s="9" t="s">
        <v>179</v>
      </c>
      <c r="B136" s="10">
        <v>2021</v>
      </c>
      <c r="C136" s="11">
        <v>3</v>
      </c>
      <c r="D136" s="12">
        <v>10500</v>
      </c>
      <c r="E136" s="11">
        <v>0</v>
      </c>
      <c r="F136" s="11">
        <v>0</v>
      </c>
      <c r="G136" s="13">
        <v>16.2</v>
      </c>
      <c r="H136" s="13">
        <v>100</v>
      </c>
      <c r="I136" s="11">
        <v>0</v>
      </c>
      <c r="J136" s="11">
        <v>1</v>
      </c>
    </row>
    <row r="137" spans="1:10" x14ac:dyDescent="0.3">
      <c r="A137" s="9" t="s">
        <v>180</v>
      </c>
      <c r="B137" s="10">
        <v>2021</v>
      </c>
      <c r="C137" s="11">
        <v>4</v>
      </c>
      <c r="D137" s="12">
        <v>20233</v>
      </c>
      <c r="E137" s="11">
        <v>1</v>
      </c>
      <c r="F137" s="11">
        <v>1</v>
      </c>
      <c r="G137" s="13">
        <v>16</v>
      </c>
      <c r="H137" s="13">
        <v>40</v>
      </c>
      <c r="I137" s="11">
        <v>0</v>
      </c>
      <c r="J137" s="11">
        <v>1</v>
      </c>
    </row>
    <row r="138" spans="1:10" x14ac:dyDescent="0.3">
      <c r="A138" s="9" t="s">
        <v>181</v>
      </c>
      <c r="B138" s="10">
        <v>2021</v>
      </c>
      <c r="C138" s="11">
        <v>5</v>
      </c>
      <c r="D138" s="12">
        <v>15623</v>
      </c>
      <c r="E138" s="11">
        <v>0</v>
      </c>
      <c r="F138" s="11">
        <v>0</v>
      </c>
      <c r="G138" s="13">
        <v>15.5</v>
      </c>
      <c r="H138" s="13">
        <v>10</v>
      </c>
      <c r="I138" s="11">
        <v>1</v>
      </c>
      <c r="J138" s="11">
        <v>1</v>
      </c>
    </row>
    <row r="139" spans="1:10" x14ac:dyDescent="0.3">
      <c r="A139" s="9" t="s">
        <v>182</v>
      </c>
      <c r="B139" s="10">
        <v>2021</v>
      </c>
      <c r="C139" s="11">
        <v>6</v>
      </c>
      <c r="D139" s="12">
        <v>17320</v>
      </c>
      <c r="E139" s="11">
        <v>0</v>
      </c>
      <c r="F139" s="11">
        <v>0</v>
      </c>
      <c r="G139" s="13">
        <v>14.8</v>
      </c>
      <c r="H139" s="13">
        <v>5</v>
      </c>
      <c r="I139" s="11">
        <v>0</v>
      </c>
      <c r="J139" s="11">
        <v>1</v>
      </c>
    </row>
    <row r="140" spans="1:10" x14ac:dyDescent="0.3">
      <c r="A140" s="9" t="s">
        <v>183</v>
      </c>
      <c r="B140" s="10">
        <v>2021</v>
      </c>
      <c r="C140" s="11">
        <v>7</v>
      </c>
      <c r="D140" s="12">
        <v>26036</v>
      </c>
      <c r="E140" s="11">
        <v>0</v>
      </c>
      <c r="F140" s="11">
        <v>1</v>
      </c>
      <c r="G140" s="13">
        <v>14.5</v>
      </c>
      <c r="H140" s="13">
        <v>5</v>
      </c>
      <c r="I140" s="11">
        <v>1</v>
      </c>
      <c r="J140" s="11">
        <v>0</v>
      </c>
    </row>
    <row r="141" spans="1:10" x14ac:dyDescent="0.3">
      <c r="A141" s="9" t="s">
        <v>184</v>
      </c>
      <c r="B141" s="10">
        <v>2021</v>
      </c>
      <c r="C141" s="11">
        <v>8</v>
      </c>
      <c r="D141" s="12">
        <v>19033</v>
      </c>
      <c r="E141" s="11">
        <v>0</v>
      </c>
      <c r="F141" s="11">
        <v>0</v>
      </c>
      <c r="G141" s="13">
        <v>15.5</v>
      </c>
      <c r="H141" s="13">
        <v>8</v>
      </c>
      <c r="I141" s="11">
        <v>0</v>
      </c>
      <c r="J141" s="11">
        <v>0</v>
      </c>
    </row>
    <row r="142" spans="1:10" x14ac:dyDescent="0.3">
      <c r="A142" s="9" t="s">
        <v>185</v>
      </c>
      <c r="B142" s="10">
        <v>2021</v>
      </c>
      <c r="C142" s="11">
        <v>9</v>
      </c>
      <c r="D142" s="12">
        <v>15839</v>
      </c>
      <c r="E142" s="11">
        <v>0</v>
      </c>
      <c r="F142" s="11">
        <v>0</v>
      </c>
      <c r="G142" s="13">
        <v>16.5</v>
      </c>
      <c r="H142" s="13">
        <v>20</v>
      </c>
      <c r="I142" s="11">
        <v>1</v>
      </c>
      <c r="J142" s="11">
        <v>0</v>
      </c>
    </row>
    <row r="143" spans="1:10" x14ac:dyDescent="0.3">
      <c r="A143" s="9" t="s">
        <v>186</v>
      </c>
      <c r="B143" s="10">
        <v>2021</v>
      </c>
      <c r="C143" s="11">
        <v>10</v>
      </c>
      <c r="D143" s="12">
        <v>15956</v>
      </c>
      <c r="E143" s="11">
        <v>0</v>
      </c>
      <c r="F143" s="11">
        <v>0</v>
      </c>
      <c r="G143" s="13">
        <v>17.2</v>
      </c>
      <c r="H143" s="13">
        <v>40</v>
      </c>
      <c r="I143" s="11">
        <v>0</v>
      </c>
      <c r="J143" s="11">
        <v>0</v>
      </c>
    </row>
    <row r="144" spans="1:10" x14ac:dyDescent="0.3">
      <c r="A144" s="9" t="s">
        <v>187</v>
      </c>
      <c r="B144" s="10">
        <v>2021</v>
      </c>
      <c r="C144" s="11">
        <v>11</v>
      </c>
      <c r="D144" s="12">
        <v>12587</v>
      </c>
      <c r="E144" s="11">
        <v>0</v>
      </c>
      <c r="F144" s="11">
        <v>0</v>
      </c>
      <c r="G144" s="13">
        <v>17.5</v>
      </c>
      <c r="H144" s="13">
        <v>55</v>
      </c>
      <c r="I144" s="11">
        <v>1</v>
      </c>
      <c r="J144" s="11">
        <v>0</v>
      </c>
    </row>
    <row r="145" spans="1:10" x14ac:dyDescent="0.3">
      <c r="A145" s="9" t="s">
        <v>188</v>
      </c>
      <c r="B145" s="10">
        <v>2021</v>
      </c>
      <c r="C145" s="11">
        <v>12</v>
      </c>
      <c r="D145" s="12">
        <v>19169</v>
      </c>
      <c r="E145" s="11">
        <v>0</v>
      </c>
      <c r="F145" s="11">
        <v>1</v>
      </c>
      <c r="G145" s="13">
        <v>17</v>
      </c>
      <c r="H145" s="13">
        <v>80</v>
      </c>
      <c r="I145" s="11">
        <v>1</v>
      </c>
      <c r="J145" s="11">
        <v>0</v>
      </c>
    </row>
    <row r="146" spans="1:10" x14ac:dyDescent="0.3">
      <c r="A146" s="9" t="s">
        <v>189</v>
      </c>
      <c r="B146" s="10">
        <v>2022</v>
      </c>
      <c r="C146" s="11">
        <v>1</v>
      </c>
      <c r="D146" s="12">
        <v>25468</v>
      </c>
      <c r="E146" s="11">
        <v>0</v>
      </c>
      <c r="F146" s="11">
        <v>0</v>
      </c>
      <c r="G146" s="13">
        <v>16.5</v>
      </c>
      <c r="H146" s="13">
        <v>95</v>
      </c>
      <c r="I146" s="11">
        <v>0</v>
      </c>
      <c r="J146" s="11">
        <v>0</v>
      </c>
    </row>
    <row r="147" spans="1:10" x14ac:dyDescent="0.3">
      <c r="A147" s="9" t="s">
        <v>190</v>
      </c>
      <c r="B147" s="10">
        <v>2022</v>
      </c>
      <c r="C147" s="11">
        <v>2</v>
      </c>
      <c r="D147" s="12">
        <v>24471</v>
      </c>
      <c r="E147" s="11">
        <v>0</v>
      </c>
      <c r="F147" s="11">
        <v>0</v>
      </c>
      <c r="G147" s="13">
        <v>16.3</v>
      </c>
      <c r="H147" s="13">
        <v>110</v>
      </c>
      <c r="I147" s="11">
        <v>1</v>
      </c>
      <c r="J147" s="11">
        <v>0</v>
      </c>
    </row>
    <row r="148" spans="1:10" x14ac:dyDescent="0.3">
      <c r="A148" s="9" t="s">
        <v>191</v>
      </c>
      <c r="B148" s="10">
        <v>2022</v>
      </c>
      <c r="C148" s="11">
        <v>3</v>
      </c>
      <c r="D148" s="12">
        <v>29398</v>
      </c>
      <c r="E148" s="11">
        <v>0</v>
      </c>
      <c r="F148" s="11">
        <v>0</v>
      </c>
      <c r="G148" s="13">
        <v>16.2</v>
      </c>
      <c r="H148" s="13">
        <v>100</v>
      </c>
      <c r="I148" s="11">
        <v>0</v>
      </c>
      <c r="J148" s="11">
        <v>0</v>
      </c>
    </row>
    <row r="149" spans="1:10" x14ac:dyDescent="0.3">
      <c r="A149" s="9" t="s">
        <v>192</v>
      </c>
      <c r="B149" s="10">
        <v>2022</v>
      </c>
      <c r="C149" s="11">
        <v>4</v>
      </c>
      <c r="D149" s="12">
        <v>46344</v>
      </c>
      <c r="E149" s="11">
        <v>1</v>
      </c>
      <c r="F149" s="11">
        <v>1</v>
      </c>
      <c r="G149" s="13">
        <v>16</v>
      </c>
      <c r="H149" s="13">
        <v>40</v>
      </c>
      <c r="I149" s="11">
        <v>0</v>
      </c>
      <c r="J149" s="11">
        <v>0</v>
      </c>
    </row>
    <row r="150" spans="1:10" x14ac:dyDescent="0.3">
      <c r="A150" s="9" t="s">
        <v>193</v>
      </c>
      <c r="B150" s="10">
        <v>2022</v>
      </c>
      <c r="C150" s="11">
        <v>5</v>
      </c>
      <c r="D150" s="12">
        <v>29990</v>
      </c>
      <c r="E150" s="11">
        <v>0</v>
      </c>
      <c r="F150" s="11">
        <v>0</v>
      </c>
      <c r="G150" s="13">
        <v>15.5</v>
      </c>
      <c r="H150" s="13">
        <v>10</v>
      </c>
      <c r="I150" s="11">
        <v>1</v>
      </c>
      <c r="J150" s="11">
        <v>0</v>
      </c>
    </row>
    <row r="151" spans="1:10" x14ac:dyDescent="0.3">
      <c r="A151" s="9" t="s">
        <v>194</v>
      </c>
      <c r="B151" s="10">
        <v>2022</v>
      </c>
      <c r="C151" s="11">
        <v>6</v>
      </c>
      <c r="D151" s="12">
        <v>31437</v>
      </c>
      <c r="E151" s="11">
        <v>0</v>
      </c>
      <c r="F151" s="11">
        <v>0</v>
      </c>
      <c r="G151" s="13">
        <v>14.8</v>
      </c>
      <c r="H151" s="13">
        <v>5</v>
      </c>
      <c r="I151" s="11">
        <v>0</v>
      </c>
      <c r="J151" s="11">
        <v>0</v>
      </c>
    </row>
    <row r="152" spans="1:10" x14ac:dyDescent="0.3">
      <c r="A152" s="9" t="s">
        <v>195</v>
      </c>
      <c r="B152" s="10">
        <v>2022</v>
      </c>
      <c r="C152" s="11">
        <v>7</v>
      </c>
      <c r="D152" s="12">
        <v>43068</v>
      </c>
      <c r="E152" s="11">
        <v>0</v>
      </c>
      <c r="F152" s="11">
        <v>1</v>
      </c>
      <c r="G152" s="13">
        <v>14.5</v>
      </c>
      <c r="H152" s="13">
        <v>5</v>
      </c>
      <c r="I152" s="11">
        <v>1</v>
      </c>
      <c r="J152" s="11">
        <v>0</v>
      </c>
    </row>
    <row r="153" spans="1:10" x14ac:dyDescent="0.3">
      <c r="A153" s="9" t="s">
        <v>196</v>
      </c>
      <c r="B153" s="10">
        <v>2022</v>
      </c>
      <c r="C153" s="11">
        <v>8</v>
      </c>
      <c r="D153" s="12">
        <v>37475</v>
      </c>
      <c r="E153" s="11">
        <v>0</v>
      </c>
      <c r="F153" s="11">
        <v>0</v>
      </c>
      <c r="G153" s="13">
        <v>15.5</v>
      </c>
      <c r="H153" s="13">
        <v>8</v>
      </c>
      <c r="I153" s="11">
        <v>0</v>
      </c>
      <c r="J153" s="11">
        <v>0</v>
      </c>
    </row>
    <row r="154" spans="1:10" x14ac:dyDescent="0.3">
      <c r="A154" s="9" t="s">
        <v>197</v>
      </c>
      <c r="B154" s="10">
        <v>2022</v>
      </c>
      <c r="C154" s="11">
        <v>9</v>
      </c>
      <c r="D154" s="12">
        <v>25407</v>
      </c>
      <c r="E154" s="11">
        <v>0</v>
      </c>
      <c r="F154" s="11">
        <v>0</v>
      </c>
      <c r="G154" s="13">
        <v>16.5</v>
      </c>
      <c r="H154" s="13">
        <v>20</v>
      </c>
      <c r="I154" s="11">
        <v>1</v>
      </c>
      <c r="J154" s="11">
        <v>0</v>
      </c>
    </row>
    <row r="155" spans="1:10" x14ac:dyDescent="0.3">
      <c r="A155" s="9" t="s">
        <v>198</v>
      </c>
      <c r="B155" s="10">
        <v>2022</v>
      </c>
      <c r="C155" s="11">
        <v>10</v>
      </c>
      <c r="D155" s="12">
        <v>25413</v>
      </c>
      <c r="E155" s="11">
        <v>0</v>
      </c>
      <c r="F155" s="11">
        <v>0</v>
      </c>
      <c r="G155" s="13">
        <v>17.2</v>
      </c>
      <c r="H155" s="13">
        <v>40</v>
      </c>
      <c r="I155" s="11">
        <v>0</v>
      </c>
      <c r="J155" s="11">
        <v>0</v>
      </c>
    </row>
    <row r="156" spans="1:10" x14ac:dyDescent="0.3">
      <c r="A156" s="9" t="s">
        <v>199</v>
      </c>
      <c r="B156" s="10">
        <v>2022</v>
      </c>
      <c r="C156" s="11">
        <v>11</v>
      </c>
      <c r="D156" s="12">
        <v>25534</v>
      </c>
      <c r="E156" s="11">
        <v>0</v>
      </c>
      <c r="F156" s="11">
        <v>0</v>
      </c>
      <c r="G156" s="13">
        <v>17.5</v>
      </c>
      <c r="H156" s="13">
        <v>55</v>
      </c>
      <c r="I156" s="11">
        <v>1</v>
      </c>
      <c r="J156" s="11">
        <v>0</v>
      </c>
    </row>
    <row r="157" spans="1:10" x14ac:dyDescent="0.3">
      <c r="A157" s="9" t="s">
        <v>200</v>
      </c>
      <c r="B157" s="10">
        <v>2022</v>
      </c>
      <c r="C157" s="11">
        <v>12</v>
      </c>
      <c r="D157" s="12">
        <v>30762</v>
      </c>
      <c r="E157" s="11">
        <v>0</v>
      </c>
      <c r="F157" s="11">
        <v>1</v>
      </c>
      <c r="G157" s="13">
        <v>17</v>
      </c>
      <c r="H157" s="13">
        <v>80</v>
      </c>
      <c r="I157" s="11">
        <v>1</v>
      </c>
      <c r="J157" s="11">
        <v>0</v>
      </c>
    </row>
    <row r="158" spans="1:10" x14ac:dyDescent="0.3">
      <c r="A158" s="9" t="s">
        <v>201</v>
      </c>
      <c r="B158" s="10">
        <v>2023</v>
      </c>
      <c r="C158" s="11">
        <v>1</v>
      </c>
      <c r="D158" s="12">
        <v>34544</v>
      </c>
      <c r="E158" s="11">
        <v>0</v>
      </c>
      <c r="F158" s="11">
        <v>0</v>
      </c>
      <c r="G158" s="13">
        <v>16.5</v>
      </c>
      <c r="H158" s="13">
        <v>95</v>
      </c>
      <c r="I158" s="11">
        <v>0</v>
      </c>
      <c r="J158" s="11">
        <v>0</v>
      </c>
    </row>
    <row r="159" spans="1:10" x14ac:dyDescent="0.3">
      <c r="A159" s="9" t="s">
        <v>202</v>
      </c>
      <c r="B159" s="10">
        <v>2023</v>
      </c>
      <c r="C159" s="11">
        <v>2</v>
      </c>
      <c r="D159" s="12">
        <v>28797</v>
      </c>
      <c r="E159" s="11">
        <v>0</v>
      </c>
      <c r="F159" s="11">
        <v>0</v>
      </c>
      <c r="G159" s="13">
        <v>16.3</v>
      </c>
      <c r="H159" s="13">
        <v>110</v>
      </c>
      <c r="I159" s="11">
        <v>1</v>
      </c>
      <c r="J159" s="11">
        <v>0</v>
      </c>
    </row>
    <row r="160" spans="1:10" x14ac:dyDescent="0.3">
      <c r="A160" s="9" t="s">
        <v>203</v>
      </c>
      <c r="B160" s="10">
        <v>2023</v>
      </c>
      <c r="C160" s="11">
        <v>3</v>
      </c>
      <c r="D160" s="12">
        <v>35560</v>
      </c>
      <c r="E160" s="11">
        <v>0</v>
      </c>
      <c r="F160" s="11">
        <v>0</v>
      </c>
      <c r="G160" s="13">
        <v>16.2</v>
      </c>
      <c r="H160" s="13">
        <v>100</v>
      </c>
      <c r="I160" s="11">
        <v>0</v>
      </c>
      <c r="J160" s="11">
        <v>0</v>
      </c>
    </row>
    <row r="161" spans="1:10" x14ac:dyDescent="0.3">
      <c r="A161" s="9" t="s">
        <v>204</v>
      </c>
      <c r="B161" s="10">
        <v>2023</v>
      </c>
      <c r="C161" s="11">
        <v>4</v>
      </c>
      <c r="D161" s="12">
        <v>65706</v>
      </c>
      <c r="E161" s="11">
        <v>1</v>
      </c>
      <c r="F161" s="11">
        <v>1</v>
      </c>
      <c r="G161" s="13">
        <v>16</v>
      </c>
      <c r="H161" s="13">
        <v>40</v>
      </c>
      <c r="I161" s="11">
        <v>0</v>
      </c>
      <c r="J161" s="11">
        <v>0</v>
      </c>
    </row>
    <row r="162" spans="1:10" x14ac:dyDescent="0.3">
      <c r="A162" s="9" t="s">
        <v>205</v>
      </c>
      <c r="B162" s="10">
        <v>2023</v>
      </c>
      <c r="C162" s="11">
        <v>5</v>
      </c>
      <c r="D162" s="12">
        <v>31978</v>
      </c>
      <c r="E162" s="11">
        <v>0</v>
      </c>
      <c r="F162" s="11">
        <v>0</v>
      </c>
      <c r="G162" s="13">
        <v>15.5</v>
      </c>
      <c r="H162" s="13">
        <v>10</v>
      </c>
      <c r="I162" s="11">
        <v>1</v>
      </c>
      <c r="J162" s="11">
        <v>0</v>
      </c>
    </row>
    <row r="163" spans="1:10" x14ac:dyDescent="0.3">
      <c r="A163" s="9" t="s">
        <v>206</v>
      </c>
      <c r="B163" s="10">
        <v>2023</v>
      </c>
      <c r="C163" s="11">
        <v>6</v>
      </c>
      <c r="D163" s="12">
        <v>39323</v>
      </c>
      <c r="E163" s="11">
        <v>0</v>
      </c>
      <c r="F163" s="11">
        <v>0</v>
      </c>
      <c r="G163" s="13">
        <v>14.8</v>
      </c>
      <c r="H163" s="13">
        <v>5</v>
      </c>
      <c r="I163" s="11">
        <v>0</v>
      </c>
      <c r="J163" s="11">
        <v>0</v>
      </c>
    </row>
    <row r="164" spans="1:10" x14ac:dyDescent="0.3">
      <c r="A164" s="9" t="s">
        <v>207</v>
      </c>
      <c r="B164" s="10">
        <v>2023</v>
      </c>
      <c r="C164" s="11">
        <v>7</v>
      </c>
      <c r="D164" s="12">
        <v>55581</v>
      </c>
      <c r="E164" s="11">
        <v>0</v>
      </c>
      <c r="F164" s="11">
        <v>1</v>
      </c>
      <c r="G164" s="13">
        <v>14.5</v>
      </c>
      <c r="H164" s="13">
        <v>5</v>
      </c>
      <c r="I164" s="11">
        <v>1</v>
      </c>
      <c r="J164" s="11">
        <v>0</v>
      </c>
    </row>
    <row r="165" spans="1:10" x14ac:dyDescent="0.3">
      <c r="A165" s="9" t="s">
        <v>208</v>
      </c>
      <c r="B165" s="10">
        <v>2023</v>
      </c>
      <c r="C165" s="11">
        <v>8</v>
      </c>
      <c r="D165" s="12">
        <v>41046</v>
      </c>
      <c r="E165" s="11">
        <v>0</v>
      </c>
      <c r="F165" s="11">
        <v>0</v>
      </c>
      <c r="G165" s="13">
        <v>15.5</v>
      </c>
      <c r="H165" s="13">
        <v>8</v>
      </c>
      <c r="I165" s="11">
        <v>0</v>
      </c>
      <c r="J165" s="11">
        <v>0</v>
      </c>
    </row>
    <row r="166" spans="1:10" x14ac:dyDescent="0.3">
      <c r="A166" s="9" t="s">
        <v>209</v>
      </c>
      <c r="B166" s="10">
        <v>2023</v>
      </c>
      <c r="C166" s="11">
        <v>9</v>
      </c>
      <c r="D166" s="12">
        <v>34864</v>
      </c>
      <c r="E166" s="11">
        <v>0</v>
      </c>
      <c r="F166" s="11">
        <v>0</v>
      </c>
      <c r="G166" s="13">
        <v>16.5</v>
      </c>
      <c r="H166" s="13">
        <v>20</v>
      </c>
      <c r="I166" s="11">
        <v>1</v>
      </c>
      <c r="J166" s="11">
        <v>0</v>
      </c>
    </row>
    <row r="167" spans="1:10" x14ac:dyDescent="0.3">
      <c r="A167" s="9" t="s">
        <v>210</v>
      </c>
      <c r="B167" s="10">
        <v>2023</v>
      </c>
      <c r="C167" s="11">
        <v>10</v>
      </c>
      <c r="D167" s="12">
        <v>31050</v>
      </c>
      <c r="E167" s="11">
        <v>0</v>
      </c>
      <c r="F167" s="11">
        <v>0</v>
      </c>
      <c r="G167" s="13">
        <v>17.2</v>
      </c>
      <c r="H167" s="13">
        <v>40</v>
      </c>
      <c r="I167" s="11">
        <v>0</v>
      </c>
      <c r="J167" s="11">
        <v>0</v>
      </c>
    </row>
    <row r="168" spans="1:10" x14ac:dyDescent="0.3">
      <c r="A168" s="9" t="s">
        <v>211</v>
      </c>
      <c r="B168" s="10">
        <v>2023</v>
      </c>
      <c r="C168" s="11">
        <v>11</v>
      </c>
      <c r="D168" s="12">
        <v>32034</v>
      </c>
      <c r="E168" s="11">
        <v>0</v>
      </c>
      <c r="F168" s="11">
        <v>0</v>
      </c>
      <c r="G168" s="13">
        <v>17.5</v>
      </c>
      <c r="H168" s="13">
        <v>55</v>
      </c>
      <c r="I168" s="11">
        <v>1</v>
      </c>
      <c r="J168" s="11">
        <v>0</v>
      </c>
    </row>
    <row r="169" spans="1:10" x14ac:dyDescent="0.3">
      <c r="A169" s="9" t="s">
        <v>212</v>
      </c>
      <c r="B169" s="10">
        <v>2023</v>
      </c>
      <c r="C169" s="11">
        <v>12</v>
      </c>
      <c r="D169" s="12">
        <v>45270</v>
      </c>
      <c r="E169" s="11">
        <v>0</v>
      </c>
      <c r="F169" s="11">
        <v>1</v>
      </c>
      <c r="G169" s="13">
        <v>17</v>
      </c>
      <c r="H169" s="13">
        <v>80</v>
      </c>
      <c r="I169" s="11">
        <v>1</v>
      </c>
      <c r="J169" s="11">
        <v>0</v>
      </c>
    </row>
    <row r="170" spans="1:10" x14ac:dyDescent="0.3">
      <c r="A170" s="9" t="s">
        <v>213</v>
      </c>
      <c r="B170" s="10">
        <v>2024</v>
      </c>
      <c r="C170" s="11">
        <v>1</v>
      </c>
      <c r="D170" s="12">
        <v>31540</v>
      </c>
      <c r="E170" s="11">
        <v>0</v>
      </c>
      <c r="F170" s="11">
        <v>0</v>
      </c>
      <c r="G170" s="13">
        <v>16.5</v>
      </c>
      <c r="H170" s="13">
        <v>95</v>
      </c>
      <c r="I170" s="11">
        <v>0</v>
      </c>
      <c r="J170" s="11">
        <v>0</v>
      </c>
    </row>
    <row r="171" spans="1:10" x14ac:dyDescent="0.3">
      <c r="A171" s="9" t="s">
        <v>214</v>
      </c>
      <c r="B171" s="10">
        <v>2024</v>
      </c>
      <c r="C171" s="11">
        <v>2</v>
      </c>
      <c r="D171" s="12">
        <v>27906</v>
      </c>
      <c r="E171" s="11">
        <v>0</v>
      </c>
      <c r="F171" s="11">
        <v>0</v>
      </c>
      <c r="G171" s="13">
        <v>16.3</v>
      </c>
      <c r="H171" s="13">
        <v>110</v>
      </c>
      <c r="I171" s="11">
        <v>1</v>
      </c>
      <c r="J171" s="11">
        <v>0</v>
      </c>
    </row>
    <row r="172" spans="1:10" x14ac:dyDescent="0.3">
      <c r="A172" s="9" t="s">
        <v>215</v>
      </c>
      <c r="B172" s="10">
        <v>2024</v>
      </c>
      <c r="C172" s="11">
        <v>3</v>
      </c>
      <c r="D172" s="12">
        <v>62063</v>
      </c>
      <c r="E172" s="11">
        <v>1</v>
      </c>
      <c r="F172" s="11">
        <v>1</v>
      </c>
      <c r="G172" s="13">
        <v>16.2</v>
      </c>
      <c r="H172" s="13">
        <v>100</v>
      </c>
      <c r="I172" s="11">
        <v>0</v>
      </c>
      <c r="J172" s="11">
        <v>0</v>
      </c>
    </row>
    <row r="173" spans="1:10" x14ac:dyDescent="0.3">
      <c r="A173" s="9" t="s">
        <v>216</v>
      </c>
      <c r="B173" s="10">
        <v>2024</v>
      </c>
      <c r="C173" s="11">
        <v>4</v>
      </c>
      <c r="D173" s="12">
        <v>39325</v>
      </c>
      <c r="E173" s="11">
        <v>0</v>
      </c>
      <c r="F173" s="11">
        <v>0</v>
      </c>
      <c r="G173" s="13">
        <v>16</v>
      </c>
      <c r="H173" s="13">
        <v>40</v>
      </c>
      <c r="I173" s="11">
        <v>0</v>
      </c>
      <c r="J173" s="11">
        <v>0</v>
      </c>
    </row>
    <row r="174" spans="1:10" x14ac:dyDescent="0.3">
      <c r="A174" s="9" t="s">
        <v>217</v>
      </c>
      <c r="B174" s="10">
        <v>2024</v>
      </c>
      <c r="C174" s="11">
        <v>5</v>
      </c>
      <c r="D174" s="12">
        <v>36892</v>
      </c>
      <c r="E174" s="11">
        <v>0</v>
      </c>
      <c r="F174" s="11">
        <v>0</v>
      </c>
      <c r="G174" s="13">
        <v>15.5</v>
      </c>
      <c r="H174" s="13">
        <v>10</v>
      </c>
      <c r="I174" s="11">
        <v>1</v>
      </c>
      <c r="J174" s="11">
        <v>0</v>
      </c>
    </row>
    <row r="175" spans="1:10" x14ac:dyDescent="0.3">
      <c r="A175" s="9" t="s">
        <v>218</v>
      </c>
      <c r="B175" s="10">
        <v>2024</v>
      </c>
      <c r="C175" s="11">
        <v>6</v>
      </c>
      <c r="D175" s="12">
        <v>40677</v>
      </c>
      <c r="E175" s="11">
        <v>0</v>
      </c>
      <c r="F175" s="11">
        <v>0</v>
      </c>
      <c r="G175" s="13">
        <v>14.8</v>
      </c>
      <c r="H175" s="13">
        <v>5</v>
      </c>
      <c r="I175" s="11">
        <v>0</v>
      </c>
      <c r="J175" s="11">
        <v>0</v>
      </c>
    </row>
    <row r="176" spans="1:10" x14ac:dyDescent="0.3">
      <c r="A176" s="9" t="s">
        <v>219</v>
      </c>
      <c r="B176" s="10">
        <v>2024</v>
      </c>
      <c r="C176" s="11">
        <v>7</v>
      </c>
      <c r="D176" s="12">
        <v>55650</v>
      </c>
      <c r="E176" s="11">
        <v>0</v>
      </c>
      <c r="F176" s="11">
        <v>1</v>
      </c>
      <c r="G176" s="13">
        <v>14.5</v>
      </c>
      <c r="H176" s="13">
        <v>5</v>
      </c>
      <c r="I176" s="11">
        <v>1</v>
      </c>
      <c r="J176" s="11">
        <v>0</v>
      </c>
    </row>
    <row r="177" spans="1:10" x14ac:dyDescent="0.3">
      <c r="A177" s="9" t="s">
        <v>220</v>
      </c>
      <c r="B177" s="10">
        <v>2024</v>
      </c>
      <c r="C177" s="11">
        <v>8</v>
      </c>
      <c r="D177" s="12">
        <v>50132</v>
      </c>
      <c r="E177" s="11">
        <v>0</v>
      </c>
      <c r="F177" s="11">
        <v>0</v>
      </c>
      <c r="G177" s="13">
        <v>15.5</v>
      </c>
      <c r="H177" s="13">
        <v>8</v>
      </c>
      <c r="I177" s="11">
        <v>0</v>
      </c>
      <c r="J177" s="11">
        <v>0</v>
      </c>
    </row>
    <row r="178" spans="1:10" x14ac:dyDescent="0.3">
      <c r="A178" s="9" t="s">
        <v>221</v>
      </c>
      <c r="B178" s="10">
        <v>2024</v>
      </c>
      <c r="C178" s="11">
        <v>9</v>
      </c>
      <c r="D178" s="12">
        <v>34683</v>
      </c>
      <c r="E178" s="11">
        <v>0</v>
      </c>
      <c r="F178" s="11">
        <v>0</v>
      </c>
      <c r="G178" s="13">
        <v>16.5</v>
      </c>
      <c r="H178" s="13">
        <v>20</v>
      </c>
      <c r="I178" s="11">
        <v>1</v>
      </c>
      <c r="J178" s="11">
        <v>0</v>
      </c>
    </row>
    <row r="179" spans="1:10" x14ac:dyDescent="0.3">
      <c r="A179" s="9" t="s">
        <v>222</v>
      </c>
      <c r="B179" s="10">
        <v>2024</v>
      </c>
      <c r="C179" s="11">
        <v>10</v>
      </c>
      <c r="D179" s="12">
        <v>35913</v>
      </c>
      <c r="E179" s="11">
        <v>0</v>
      </c>
      <c r="F179" s="11">
        <v>0</v>
      </c>
      <c r="G179" s="13">
        <v>17.2</v>
      </c>
      <c r="H179" s="13">
        <v>40</v>
      </c>
      <c r="I179" s="11">
        <v>0</v>
      </c>
      <c r="J179" s="11">
        <v>0</v>
      </c>
    </row>
    <row r="180" spans="1:10" x14ac:dyDescent="0.3">
      <c r="A180" s="9" t="s">
        <v>223</v>
      </c>
      <c r="B180" s="10">
        <v>2024</v>
      </c>
      <c r="C180" s="11">
        <v>11</v>
      </c>
      <c r="D180" s="12">
        <v>31491</v>
      </c>
      <c r="E180" s="11">
        <v>0</v>
      </c>
      <c r="F180" s="11">
        <v>0</v>
      </c>
      <c r="G180" s="13">
        <v>17.5</v>
      </c>
      <c r="H180" s="13">
        <v>55</v>
      </c>
      <c r="I180" s="11">
        <v>1</v>
      </c>
      <c r="J180" s="11">
        <v>0</v>
      </c>
    </row>
    <row r="181" spans="1:10" x14ac:dyDescent="0.3">
      <c r="A181" s="9" t="s">
        <v>224</v>
      </c>
      <c r="B181" s="10">
        <v>2024</v>
      </c>
      <c r="C181" s="11">
        <v>12</v>
      </c>
      <c r="D181" s="12">
        <v>51226</v>
      </c>
      <c r="E181" s="11">
        <v>0</v>
      </c>
      <c r="F181" s="11">
        <v>1</v>
      </c>
      <c r="G181" s="13">
        <v>17</v>
      </c>
      <c r="H181" s="13">
        <v>80</v>
      </c>
      <c r="I181" s="11">
        <v>1</v>
      </c>
      <c r="J181" s="11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Normal="100" workbookViewId="0"/>
  </sheetViews>
  <sheetFormatPr baseColWidth="10" defaultColWidth="8.6640625" defaultRowHeight="14.4" x14ac:dyDescent="0.3"/>
  <cols>
    <col min="1" max="1" width="20" customWidth="1"/>
    <col min="2" max="2" width="12" customWidth="1"/>
    <col min="3" max="3" width="55" customWidth="1"/>
    <col min="4" max="4" width="22" customWidth="1"/>
    <col min="5" max="5" width="55" customWidth="1"/>
  </cols>
  <sheetData>
    <row r="1" spans="1:5" x14ac:dyDescent="0.3">
      <c r="A1" s="8" t="s">
        <v>225</v>
      </c>
      <c r="B1" s="8" t="s">
        <v>226</v>
      </c>
      <c r="C1" s="8" t="s">
        <v>227</v>
      </c>
      <c r="D1" s="8" t="s">
        <v>228</v>
      </c>
      <c r="E1" s="8" t="s">
        <v>229</v>
      </c>
    </row>
    <row r="2" spans="1:5" ht="45" customHeight="1" x14ac:dyDescent="0.3">
      <c r="A2" s="14" t="s">
        <v>35</v>
      </c>
      <c r="B2" s="14" t="s">
        <v>35</v>
      </c>
      <c r="C2" s="14" t="s">
        <v>230</v>
      </c>
      <c r="D2" s="14" t="s">
        <v>231</v>
      </c>
      <c r="E2" s="14" t="s">
        <v>232</v>
      </c>
    </row>
    <row r="3" spans="1:5" ht="45" customHeight="1" x14ac:dyDescent="0.3">
      <c r="A3" s="14" t="s">
        <v>36</v>
      </c>
      <c r="B3" s="14" t="s">
        <v>233</v>
      </c>
      <c r="C3" s="14" t="s">
        <v>234</v>
      </c>
      <c r="D3" s="14" t="s">
        <v>235</v>
      </c>
      <c r="E3" s="14" t="s">
        <v>232</v>
      </c>
    </row>
    <row r="4" spans="1:5" ht="45" customHeight="1" x14ac:dyDescent="0.3">
      <c r="A4" s="14" t="s">
        <v>37</v>
      </c>
      <c r="B4" s="14" t="s">
        <v>233</v>
      </c>
      <c r="C4" s="14" t="s">
        <v>236</v>
      </c>
      <c r="D4" s="14" t="s">
        <v>237</v>
      </c>
      <c r="E4" s="14" t="s">
        <v>232</v>
      </c>
    </row>
    <row r="5" spans="1:5" ht="45" customHeight="1" x14ac:dyDescent="0.3">
      <c r="A5" s="14" t="s">
        <v>38</v>
      </c>
      <c r="B5" s="14" t="s">
        <v>233</v>
      </c>
      <c r="C5" s="14" t="s">
        <v>238</v>
      </c>
      <c r="D5" s="14" t="s">
        <v>239</v>
      </c>
      <c r="E5" s="14" t="s">
        <v>240</v>
      </c>
    </row>
    <row r="6" spans="1:5" ht="45" customHeight="1" x14ac:dyDescent="0.3">
      <c r="A6" s="14" t="s">
        <v>39</v>
      </c>
      <c r="B6" s="14" t="s">
        <v>241</v>
      </c>
      <c r="C6" s="14" t="s">
        <v>242</v>
      </c>
      <c r="D6" s="14" t="s">
        <v>243</v>
      </c>
      <c r="E6" s="14" t="s">
        <v>244</v>
      </c>
    </row>
    <row r="7" spans="1:5" ht="45" customHeight="1" x14ac:dyDescent="0.3">
      <c r="A7" s="14" t="s">
        <v>40</v>
      </c>
      <c r="B7" s="14" t="s">
        <v>241</v>
      </c>
      <c r="C7" s="14" t="s">
        <v>245</v>
      </c>
      <c r="D7" s="14" t="s">
        <v>243</v>
      </c>
      <c r="E7" s="14" t="s">
        <v>246</v>
      </c>
    </row>
    <row r="8" spans="1:5" ht="45" customHeight="1" x14ac:dyDescent="0.3">
      <c r="A8" s="14" t="s">
        <v>41</v>
      </c>
      <c r="B8" s="14" t="s">
        <v>247</v>
      </c>
      <c r="C8" s="14" t="s">
        <v>248</v>
      </c>
      <c r="D8" s="14" t="s">
        <v>249</v>
      </c>
      <c r="E8" s="14" t="s">
        <v>250</v>
      </c>
    </row>
    <row r="9" spans="1:5" ht="45" customHeight="1" x14ac:dyDescent="0.3">
      <c r="A9" s="14" t="s">
        <v>42</v>
      </c>
      <c r="B9" s="14" t="s">
        <v>247</v>
      </c>
      <c r="C9" s="14" t="s">
        <v>251</v>
      </c>
      <c r="D9" s="14" t="s">
        <v>252</v>
      </c>
      <c r="E9" s="14" t="s">
        <v>250</v>
      </c>
    </row>
    <row r="10" spans="1:5" ht="45" customHeight="1" x14ac:dyDescent="0.3">
      <c r="A10" s="14" t="s">
        <v>43</v>
      </c>
      <c r="B10" s="14" t="s">
        <v>241</v>
      </c>
      <c r="C10" s="14" t="s">
        <v>253</v>
      </c>
      <c r="D10" s="14" t="s">
        <v>243</v>
      </c>
      <c r="E10" s="14" t="s">
        <v>254</v>
      </c>
    </row>
    <row r="11" spans="1:5" ht="45" customHeight="1" x14ac:dyDescent="0.3">
      <c r="A11" s="14" t="s">
        <v>44</v>
      </c>
      <c r="B11" s="14" t="s">
        <v>241</v>
      </c>
      <c r="C11" s="14" t="s">
        <v>255</v>
      </c>
      <c r="D11" s="14" t="s">
        <v>243</v>
      </c>
      <c r="E11" s="14" t="s">
        <v>256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zoomScaleNormal="100" workbookViewId="0"/>
  </sheetViews>
  <sheetFormatPr baseColWidth="10" defaultColWidth="8.6640625" defaultRowHeight="14.4" x14ac:dyDescent="0.3"/>
  <cols>
    <col min="1" max="1" width="10" customWidth="1"/>
    <col min="2" max="2" width="16" customWidth="1"/>
    <col min="3" max="3" width="14" customWidth="1"/>
    <col min="4" max="4" width="22" customWidth="1"/>
  </cols>
  <sheetData>
    <row r="1" spans="1:4" ht="17.399999999999999" x14ac:dyDescent="0.3">
      <c r="A1" s="1" t="s">
        <v>257</v>
      </c>
      <c r="B1" s="1"/>
      <c r="C1" s="1"/>
      <c r="D1" s="1"/>
    </row>
    <row r="3" spans="1:4" x14ac:dyDescent="0.3">
      <c r="A3" s="8" t="s">
        <v>36</v>
      </c>
      <c r="B3" s="8" t="s">
        <v>258</v>
      </c>
      <c r="C3" s="8" t="s">
        <v>259</v>
      </c>
      <c r="D3" s="8" t="s">
        <v>260</v>
      </c>
    </row>
    <row r="4" spans="1:4" x14ac:dyDescent="0.3">
      <c r="A4" s="10">
        <v>2010</v>
      </c>
      <c r="B4" s="12">
        <f>SUMIFS(Datos!D:D,Datos!B:B,A4)</f>
        <v>243967</v>
      </c>
      <c r="C4" s="11" t="s">
        <v>261</v>
      </c>
      <c r="D4" s="11">
        <f>INDEX(Datos!C2:C13,MATCH(MAX(Datos!D2:D13),Datos!D2:D13,0))</f>
        <v>4</v>
      </c>
    </row>
    <row r="5" spans="1:4" x14ac:dyDescent="0.3">
      <c r="A5" s="10">
        <v>2011</v>
      </c>
      <c r="B5" s="12">
        <f>SUMIFS(Datos!D:D,Datos!B:B,A5)</f>
        <v>223415</v>
      </c>
      <c r="C5" s="15">
        <f t="shared" ref="C5:C18" si="0">(B5-B4)/B4</f>
        <v>-8.424090143339058E-2</v>
      </c>
      <c r="D5" s="11">
        <f>INDEX(Datos!C14:C25,MATCH(MAX(Datos!D14:D25),Datos!D14:D25,0))</f>
        <v>4</v>
      </c>
    </row>
    <row r="6" spans="1:4" x14ac:dyDescent="0.3">
      <c r="A6" s="10">
        <v>2012</v>
      </c>
      <c r="B6" s="12">
        <f>SUMIFS(Datos!D:D,Datos!B:B,A6)</f>
        <v>239264</v>
      </c>
      <c r="C6" s="15">
        <f t="shared" si="0"/>
        <v>7.0939730993890296E-2</v>
      </c>
      <c r="D6" s="11">
        <f>INDEX(Datos!C26:C37,MATCH(MAX(Datos!D26:D37),Datos!D26:D37,0))</f>
        <v>4</v>
      </c>
    </row>
    <row r="7" spans="1:4" x14ac:dyDescent="0.3">
      <c r="A7" s="10">
        <v>2013</v>
      </c>
      <c r="B7" s="12">
        <f>SUMIFS(Datos!D:D,Datos!B:B,A7)</f>
        <v>264664</v>
      </c>
      <c r="C7" s="15">
        <f t="shared" si="0"/>
        <v>0.10615888725424635</v>
      </c>
      <c r="D7" s="11">
        <f>INDEX(Datos!C38:C49,MATCH(MAX(Datos!D38:D49),Datos!D38:D49,0))</f>
        <v>3</v>
      </c>
    </row>
    <row r="8" spans="1:4" x14ac:dyDescent="0.3">
      <c r="A8" s="10">
        <v>2014</v>
      </c>
      <c r="B8" s="12">
        <f>SUMIFS(Datos!D:D,Datos!B:B,A8)</f>
        <v>310141</v>
      </c>
      <c r="C8" s="15">
        <f t="shared" si="0"/>
        <v>0.17182918719584075</v>
      </c>
      <c r="D8" s="11">
        <f>INDEX(Datos!C50:C61,MATCH(MAX(Datos!D50:D61),Datos!D50:D61,0))</f>
        <v>4</v>
      </c>
    </row>
    <row r="9" spans="1:4" x14ac:dyDescent="0.3">
      <c r="A9" s="10">
        <v>2015</v>
      </c>
      <c r="B9" s="12">
        <f>SUMIFS(Datos!D:D,Datos!B:B,A9)</f>
        <v>332577</v>
      </c>
      <c r="C9" s="15">
        <f t="shared" si="0"/>
        <v>7.2341289929419197E-2</v>
      </c>
      <c r="D9" s="11">
        <f>INDEX(Datos!C62:C73,MATCH(MAX(Datos!D62:D73),Datos!D62:D73,0))</f>
        <v>4</v>
      </c>
    </row>
    <row r="10" spans="1:4" x14ac:dyDescent="0.3">
      <c r="A10" s="10">
        <v>2016</v>
      </c>
      <c r="B10" s="12">
        <f>SUMIFS(Datos!D:D,Datos!B:B,A10)</f>
        <v>345576</v>
      </c>
      <c r="C10" s="15">
        <f t="shared" si="0"/>
        <v>3.9085685420218473E-2</v>
      </c>
      <c r="D10" s="11">
        <f>INDEX(Datos!C74:C85,MATCH(MAX(Datos!D74:D85),Datos!D74:D85,0))</f>
        <v>7</v>
      </c>
    </row>
    <row r="11" spans="1:4" x14ac:dyDescent="0.3">
      <c r="A11" s="10">
        <v>2017</v>
      </c>
      <c r="B11" s="12">
        <f>SUMIFS(Datos!D:D,Datos!B:B,A11)</f>
        <v>382612</v>
      </c>
      <c r="C11" s="15">
        <f t="shared" si="0"/>
        <v>0.10717179433756974</v>
      </c>
      <c r="D11" s="11">
        <f>INDEX(Datos!C86:C97,MATCH(MAX(Datos!D86:D97),Datos!D86:D97,0))</f>
        <v>4</v>
      </c>
    </row>
    <row r="12" spans="1:4" x14ac:dyDescent="0.3">
      <c r="A12" s="10">
        <v>2018</v>
      </c>
      <c r="B12" s="12">
        <f>SUMIFS(Datos!D:D,Datos!B:B,A12)</f>
        <v>416685</v>
      </c>
      <c r="C12" s="15">
        <f t="shared" si="0"/>
        <v>8.9053662718367427E-2</v>
      </c>
      <c r="D12" s="11">
        <f>INDEX(Datos!C98:C109,MATCH(MAX(Datos!D98:D109),Datos!D98:D109,0))</f>
        <v>4</v>
      </c>
    </row>
    <row r="13" spans="1:4" x14ac:dyDescent="0.3">
      <c r="A13" s="10">
        <v>2019</v>
      </c>
      <c r="B13" s="12">
        <f>SUMIFS(Datos!D:D,Datos!B:B,A13)</f>
        <v>706475</v>
      </c>
      <c r="C13" s="15">
        <f t="shared" si="0"/>
        <v>0.69546539952242103</v>
      </c>
      <c r="D13" s="11">
        <f>INDEX(Datos!C110:C121,MATCH(MAX(Datos!D110:D121),Datos!D110:D121,0))</f>
        <v>4</v>
      </c>
    </row>
    <row r="14" spans="1:4" x14ac:dyDescent="0.3">
      <c r="A14" s="10">
        <v>2020</v>
      </c>
      <c r="B14" s="12">
        <f>SUMIFS(Datos!D:D,Datos!B:B,A14)</f>
        <v>73637</v>
      </c>
      <c r="C14" s="15">
        <f t="shared" si="0"/>
        <v>-0.89576842775752863</v>
      </c>
      <c r="D14" s="11">
        <f>INDEX(Datos!C122:C133,MATCH(MAX(Datos!D122:D133),Datos!D122:D133,0))</f>
        <v>1</v>
      </c>
    </row>
    <row r="15" spans="1:4" x14ac:dyDescent="0.3">
      <c r="A15" s="10">
        <v>2021</v>
      </c>
      <c r="B15" s="12">
        <f>SUMIFS(Datos!D:D,Datos!B:B,A15)</f>
        <v>188529</v>
      </c>
      <c r="C15" s="15">
        <f t="shared" si="0"/>
        <v>1.5602482447682551</v>
      </c>
      <c r="D15" s="11">
        <f>INDEX(Datos!C134:C145,MATCH(MAX(Datos!D134:D145),Datos!D134:D145,0))</f>
        <v>7</v>
      </c>
    </row>
    <row r="16" spans="1:4" x14ac:dyDescent="0.3">
      <c r="A16" s="10">
        <v>2022</v>
      </c>
      <c r="B16" s="12">
        <f>SUMIFS(Datos!D:D,Datos!B:B,A16)</f>
        <v>374767</v>
      </c>
      <c r="C16" s="15">
        <f t="shared" si="0"/>
        <v>0.98784802338101829</v>
      </c>
      <c r="D16" s="11">
        <f>INDEX(Datos!C146:C157,MATCH(MAX(Datos!D146:D157),Datos!D146:D157,0))</f>
        <v>4</v>
      </c>
    </row>
    <row r="17" spans="1:4" x14ac:dyDescent="0.3">
      <c r="A17" s="10">
        <v>2023</v>
      </c>
      <c r="B17" s="12">
        <f>SUMIFS(Datos!D:D,Datos!B:B,A17)</f>
        <v>475753</v>
      </c>
      <c r="C17" s="15">
        <f t="shared" si="0"/>
        <v>0.26946342660906641</v>
      </c>
      <c r="D17" s="11">
        <f>INDEX(Datos!C158:C169,MATCH(MAX(Datos!D158:D169),Datos!D158:D169,0))</f>
        <v>4</v>
      </c>
    </row>
    <row r="18" spans="1:4" x14ac:dyDescent="0.3">
      <c r="A18" s="10">
        <v>2024</v>
      </c>
      <c r="B18" s="12">
        <f>SUMIFS(Datos!D:D,Datos!B:B,A18)</f>
        <v>497498</v>
      </c>
      <c r="C18" s="15">
        <f t="shared" si="0"/>
        <v>4.5706490552870925E-2</v>
      </c>
      <c r="D18" s="11">
        <f>INDEX(Datos!C170:C181,MATCH(MAX(Datos!D170:D181),Datos!D170:D181,0))</f>
        <v>3</v>
      </c>
    </row>
    <row r="19" spans="1:4" x14ac:dyDescent="0.3">
      <c r="A19" s="16" t="s">
        <v>262</v>
      </c>
      <c r="B19" s="17">
        <f>SUM(B4:B18)</f>
        <v>5075560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zoomScaleNormal="100" workbookViewId="0"/>
  </sheetViews>
  <sheetFormatPr baseColWidth="10" defaultColWidth="8.6640625" defaultRowHeight="14.4" x14ac:dyDescent="0.3"/>
  <cols>
    <col min="1" max="1" width="8" customWidth="1"/>
    <col min="2" max="2" width="15" customWidth="1"/>
    <col min="3" max="3" width="18" customWidth="1"/>
  </cols>
  <sheetData>
    <row r="1" spans="1:3" ht="17.399999999999999" x14ac:dyDescent="0.3">
      <c r="A1" s="1" t="s">
        <v>263</v>
      </c>
      <c r="B1" s="1"/>
      <c r="C1" s="1"/>
    </row>
    <row r="3" spans="1:3" x14ac:dyDescent="0.3">
      <c r="A3" s="8" t="s">
        <v>37</v>
      </c>
      <c r="B3" s="8" t="s">
        <v>264</v>
      </c>
      <c r="C3" s="8" t="s">
        <v>265</v>
      </c>
    </row>
    <row r="4" spans="1:3" x14ac:dyDescent="0.3">
      <c r="A4" s="11">
        <v>1</v>
      </c>
      <c r="B4" s="11" t="s">
        <v>266</v>
      </c>
      <c r="C4" s="12">
        <f>AVERAGEIFS(Datos!D:D,Datos!C:C,A4)</f>
        <v>22991.200000000001</v>
      </c>
    </row>
    <row r="5" spans="1:3" x14ac:dyDescent="0.3">
      <c r="A5" s="11">
        <v>2</v>
      </c>
      <c r="B5" s="11" t="s">
        <v>267</v>
      </c>
      <c r="C5" s="12">
        <f>AVERAGEIFS(Datos!D:D,Datos!C:C,A5)</f>
        <v>20547.599999999999</v>
      </c>
    </row>
    <row r="6" spans="1:3" x14ac:dyDescent="0.3">
      <c r="A6" s="11">
        <v>3</v>
      </c>
      <c r="B6" s="11" t="s">
        <v>268</v>
      </c>
      <c r="C6" s="12">
        <f>AVERAGEIFS(Datos!D:D,Datos!C:C,A6)</f>
        <v>29940.400000000001</v>
      </c>
    </row>
    <row r="7" spans="1:3" x14ac:dyDescent="0.3">
      <c r="A7" s="11">
        <v>4</v>
      </c>
      <c r="B7" s="11" t="s">
        <v>269</v>
      </c>
      <c r="C7" s="12">
        <f>AVERAGEIFS(Datos!D:D,Datos!C:C,A7)</f>
        <v>41397.333333333336</v>
      </c>
    </row>
    <row r="8" spans="1:3" x14ac:dyDescent="0.3">
      <c r="A8" s="11">
        <v>5</v>
      </c>
      <c r="B8" s="11" t="s">
        <v>270</v>
      </c>
      <c r="C8" s="12">
        <f>AVERAGEIFS(Datos!D:D,Datos!C:C,A8)</f>
        <v>25107.733333333334</v>
      </c>
    </row>
    <row r="9" spans="1:3" x14ac:dyDescent="0.3">
      <c r="A9" s="11">
        <v>6</v>
      </c>
      <c r="B9" s="11" t="s">
        <v>271</v>
      </c>
      <c r="C9" s="12">
        <f>AVERAGEIFS(Datos!D:D,Datos!C:C,A9)</f>
        <v>28624.666666666668</v>
      </c>
    </row>
    <row r="10" spans="1:3" x14ac:dyDescent="0.3">
      <c r="A10" s="11">
        <v>7</v>
      </c>
      <c r="B10" s="11" t="s">
        <v>272</v>
      </c>
      <c r="C10" s="12">
        <f>AVERAGEIFS(Datos!D:D,Datos!C:C,A10)</f>
        <v>38183.133333333331</v>
      </c>
    </row>
    <row r="11" spans="1:3" x14ac:dyDescent="0.3">
      <c r="A11" s="11">
        <v>8</v>
      </c>
      <c r="B11" s="11" t="s">
        <v>273</v>
      </c>
      <c r="C11" s="12">
        <f>AVERAGEIFS(Datos!D:D,Datos!C:C,A11)</f>
        <v>32607.333333333332</v>
      </c>
    </row>
    <row r="12" spans="1:3" x14ac:dyDescent="0.3">
      <c r="A12" s="11">
        <v>9</v>
      </c>
      <c r="B12" s="11" t="s">
        <v>274</v>
      </c>
      <c r="C12" s="12">
        <f>AVERAGEIFS(Datos!D:D,Datos!C:C,A12)</f>
        <v>23746.066666666666</v>
      </c>
    </row>
    <row r="13" spans="1:3" x14ac:dyDescent="0.3">
      <c r="A13" s="11">
        <v>10</v>
      </c>
      <c r="B13" s="11" t="s">
        <v>275</v>
      </c>
      <c r="C13" s="12">
        <f>AVERAGEIFS(Datos!D:D,Datos!C:C,A13)</f>
        <v>22199.200000000001</v>
      </c>
    </row>
    <row r="14" spans="1:3" x14ac:dyDescent="0.3">
      <c r="A14" s="11">
        <v>11</v>
      </c>
      <c r="B14" s="11" t="s">
        <v>276</v>
      </c>
      <c r="C14" s="12">
        <f>AVERAGEIFS(Datos!D:D,Datos!C:C,A14)</f>
        <v>22961.8</v>
      </c>
    </row>
    <row r="15" spans="1:3" x14ac:dyDescent="0.3">
      <c r="A15" s="11">
        <v>12</v>
      </c>
      <c r="B15" s="11" t="s">
        <v>277</v>
      </c>
      <c r="C15" s="12">
        <f>AVERAGEIFS(Datos!D:D,Datos!C:C,A15)</f>
        <v>30064.2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</vt:lpstr>
      <vt:lpstr>Datos</vt:lpstr>
      <vt:lpstr>Diccionario</vt:lpstr>
      <vt:lpstr>Resumen_Anual</vt:lpstr>
      <vt:lpstr>Estacionalidad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Jhan Ccallocunto</cp:lastModifiedBy>
  <cp:revision>1</cp:revision>
  <dcterms:created xsi:type="dcterms:W3CDTF">2026-04-17T23:33:27Z</dcterms:created>
  <dcterms:modified xsi:type="dcterms:W3CDTF">2026-04-18T05:41:45Z</dcterms:modified>
  <dc:language>en-US</dc:language>
</cp:coreProperties>
</file>